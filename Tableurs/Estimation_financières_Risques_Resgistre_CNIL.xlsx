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33647\Desktop\Openclassroom\Projet10\Réaliser le cadrage d'un projet IA\Réaliser_le_cadrage_d'un_projet_IA_Vitrac_Aline\"/>
    </mc:Choice>
  </mc:AlternateContent>
  <xr:revisionPtr revIDLastSave="0" documentId="13_ncr:1_{DBA71249-A107-40C3-8B56-DD02B6A4FC7E}" xr6:coauthVersionLast="47" xr6:coauthVersionMax="47" xr10:uidLastSave="{00000000-0000-0000-0000-000000000000}"/>
  <bookViews>
    <workbookView xWindow="-108" yWindow="-108" windowWidth="23256" windowHeight="12456" activeTab="2" xr2:uid="{4BB4836D-40E2-46CF-AD2D-8CD9271C9F32}"/>
  </bookViews>
  <sheets>
    <sheet name="Résumé" sheetId="9" r:id="rId1"/>
    <sheet name="Backlog" sheetId="1" r:id="rId2"/>
    <sheet name="Planning" sheetId="3" r:id="rId3"/>
    <sheet name="Budget et bénéfices" sheetId="2" r:id="rId4"/>
    <sheet name="Risque" sheetId="4" r:id="rId5"/>
    <sheet name="CNIL traitement 001" sheetId="5" r:id="rId6"/>
    <sheet name="CNIL traitement 002" sheetId="8"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7" i="3" l="1"/>
  <c r="C98" i="3"/>
  <c r="C99" i="3"/>
  <c r="C100" i="3"/>
  <c r="C101" i="3"/>
  <c r="C102" i="3"/>
  <c r="C103" i="3"/>
  <c r="C104" i="3"/>
  <c r="C105" i="3"/>
  <c r="C106" i="3"/>
  <c r="C107" i="3"/>
  <c r="C108" i="3"/>
  <c r="C109" i="3"/>
  <c r="C110" i="3"/>
  <c r="C111" i="3"/>
  <c r="C112" i="3"/>
  <c r="C113" i="3"/>
  <c r="C114" i="3"/>
  <c r="C115" i="3"/>
  <c r="C116" i="3"/>
  <c r="C117" i="3"/>
  <c r="C118" i="3"/>
  <c r="C96" i="3"/>
  <c r="E94" i="3"/>
  <c r="C95" i="3"/>
  <c r="K16" i="2"/>
  <c r="K17" i="2"/>
  <c r="K18" i="2"/>
  <c r="K19" i="2"/>
  <c r="K20" i="2"/>
  <c r="B23" i="2"/>
  <c r="B18" i="2"/>
  <c r="B21" i="2"/>
  <c r="B22" i="2" s="1"/>
  <c r="B19" i="2" l="1"/>
  <c r="I2" i="4" l="1"/>
  <c r="L20" i="2"/>
  <c r="I11" i="4" l="1"/>
  <c r="I12" i="4"/>
  <c r="I3" i="4"/>
  <c r="I4" i="4"/>
  <c r="I5" i="4"/>
  <c r="I6" i="4"/>
  <c r="I7" i="4"/>
  <c r="I8" i="4"/>
  <c r="I9" i="4"/>
  <c r="I10" i="4"/>
  <c r="I13" i="4"/>
  <c r="L17" i="2"/>
  <c r="L18" i="2"/>
  <c r="L19" i="2"/>
  <c r="L16" i="2"/>
  <c r="D45" i="2"/>
  <c r="D37" i="2"/>
  <c r="D22" i="2"/>
  <c r="J22" i="2" l="1"/>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21" i="2"/>
  <c r="K21" i="2" s="1"/>
  <c r="J20" i="2"/>
  <c r="D24" i="2"/>
  <c r="D23" i="2"/>
  <c r="D21" i="2"/>
  <c r="B20" i="2"/>
  <c r="D20" i="2" s="1"/>
  <c r="D19" i="2"/>
  <c r="D18" i="2"/>
  <c r="D36" i="2"/>
  <c r="D35" i="2"/>
  <c r="D34" i="2"/>
  <c r="D33" i="2"/>
  <c r="D31" i="2"/>
  <c r="D17" i="2"/>
  <c r="D16" i="2"/>
  <c r="L35" i="2" l="1"/>
  <c r="L43" i="2"/>
  <c r="L26" i="2"/>
  <c r="L21" i="2"/>
  <c r="L48" i="2"/>
  <c r="L39" i="2"/>
  <c r="L30" i="2"/>
  <c r="L23" i="2"/>
  <c r="L51" i="2"/>
  <c r="L24" i="2"/>
  <c r="L42" i="2"/>
  <c r="L36" i="2"/>
  <c r="L44" i="2"/>
  <c r="L27" i="2"/>
  <c r="L28" i="2"/>
  <c r="L38" i="2"/>
  <c r="L29" i="2"/>
  <c r="L22" i="2"/>
  <c r="L40" i="2"/>
  <c r="L41" i="2"/>
  <c r="L46" i="2"/>
  <c r="L33" i="2"/>
  <c r="L47" i="2"/>
  <c r="L37" i="2"/>
  <c r="L45" i="2"/>
  <c r="L34" i="2"/>
  <c r="L49" i="2"/>
  <c r="L50" i="2"/>
  <c r="L31" i="2"/>
  <c r="L32" i="2"/>
  <c r="L25" i="2"/>
  <c r="D38" i="2"/>
  <c r="D50" i="2" s="1"/>
  <c r="D25" i="2"/>
  <c r="D49" i="2" s="1"/>
  <c r="D51" i="2" l="1"/>
  <c r="M19" i="2"/>
  <c r="O19" i="2" s="1"/>
  <c r="M16" i="2"/>
  <c r="O16" i="2" s="1"/>
  <c r="M18" i="2"/>
  <c r="O18" i="2" s="1"/>
  <c r="M20" i="2"/>
  <c r="O20" i="2" s="1"/>
  <c r="M17" i="2"/>
  <c r="O17" i="2" s="1"/>
  <c r="M24" i="2" l="1"/>
  <c r="O24" i="2" s="1"/>
  <c r="M32" i="2"/>
  <c r="O32" i="2" s="1"/>
  <c r="M40" i="2"/>
  <c r="O40" i="2" s="1"/>
  <c r="M48" i="2"/>
  <c r="O48" i="2" s="1"/>
  <c r="M25" i="2"/>
  <c r="O25" i="2" s="1"/>
  <c r="M33" i="2"/>
  <c r="O33" i="2" s="1"/>
  <c r="M41" i="2"/>
  <c r="O41" i="2" s="1"/>
  <c r="M49" i="2"/>
  <c r="O49" i="2" s="1"/>
  <c r="M26" i="2"/>
  <c r="O26" i="2" s="1"/>
  <c r="M34" i="2"/>
  <c r="O34" i="2" s="1"/>
  <c r="M42" i="2"/>
  <c r="O42" i="2" s="1"/>
  <c r="M50" i="2"/>
  <c r="O50" i="2" s="1"/>
  <c r="M27" i="2"/>
  <c r="O27" i="2" s="1"/>
  <c r="M35" i="2"/>
  <c r="O35" i="2" s="1"/>
  <c r="M43" i="2"/>
  <c r="O43" i="2" s="1"/>
  <c r="M51" i="2"/>
  <c r="O51" i="2" s="1"/>
  <c r="M28" i="2"/>
  <c r="O28" i="2" s="1"/>
  <c r="M36" i="2"/>
  <c r="O36" i="2" s="1"/>
  <c r="M44" i="2"/>
  <c r="O44" i="2" s="1"/>
  <c r="M21" i="2"/>
  <c r="O21" i="2" s="1"/>
  <c r="M29" i="2"/>
  <c r="O29" i="2" s="1"/>
  <c r="M37" i="2"/>
  <c r="O37" i="2" s="1"/>
  <c r="M45" i="2"/>
  <c r="O45" i="2" s="1"/>
  <c r="M22" i="2"/>
  <c r="O22" i="2" s="1"/>
  <c r="M30" i="2"/>
  <c r="O30" i="2" s="1"/>
  <c r="M38" i="2"/>
  <c r="O38" i="2" s="1"/>
  <c r="M46" i="2"/>
  <c r="O46" i="2" s="1"/>
  <c r="M23" i="2"/>
  <c r="O23" i="2" s="1"/>
  <c r="M31" i="2"/>
  <c r="O31" i="2" s="1"/>
  <c r="M39" i="2"/>
  <c r="O39" i="2" s="1"/>
  <c r="M47" i="2"/>
  <c r="O47" i="2" s="1"/>
  <c r="N17" i="2"/>
  <c r="N19" i="2"/>
  <c r="N20" i="2"/>
  <c r="N16" i="2"/>
  <c r="N18" i="2"/>
  <c r="P25" i="2" l="1"/>
  <c r="N23" i="2"/>
  <c r="N38" i="2"/>
  <c r="N26" i="2"/>
  <c r="N21" i="2"/>
  <c r="N28" i="2"/>
  <c r="N49" i="2"/>
  <c r="N40" i="2"/>
  <c r="N45" i="2"/>
  <c r="N24" i="2"/>
  <c r="N42" i="2"/>
  <c r="N34" i="2"/>
  <c r="N29" i="2"/>
  <c r="N30" i="2"/>
  <c r="N22" i="2"/>
  <c r="N47" i="2"/>
  <c r="P23" i="2"/>
  <c r="P22" i="2"/>
  <c r="P18" i="2"/>
  <c r="P20" i="2"/>
  <c r="P21" i="2"/>
  <c r="P17" i="2"/>
  <c r="P16" i="2"/>
  <c r="P24" i="2"/>
  <c r="P19" i="2"/>
  <c r="N41" i="2"/>
  <c r="N31" i="2"/>
  <c r="N44" i="2"/>
  <c r="N43" i="2"/>
  <c r="N25" i="2"/>
  <c r="N36" i="2"/>
  <c r="N32" i="2"/>
  <c r="N35" i="2"/>
  <c r="N50" i="2"/>
  <c r="N27" i="2"/>
  <c r="N37" i="2"/>
  <c r="N39" i="2"/>
  <c r="N46" i="2"/>
  <c r="N48" i="2"/>
  <c r="N51" i="2"/>
  <c r="N33" i="2"/>
  <c r="P26" i="2"/>
  <c r="P27" i="2"/>
  <c r="P28" i="2" l="1"/>
  <c r="P29" i="2" l="1"/>
  <c r="P30" i="2" l="1"/>
  <c r="P31" i="2" l="1"/>
  <c r="P32" i="2" l="1"/>
  <c r="P33" i="2" l="1"/>
  <c r="P34" i="2"/>
  <c r="P35" i="2" l="1"/>
  <c r="P36" i="2" l="1"/>
  <c r="P37" i="2" l="1"/>
  <c r="P38" i="2" l="1"/>
  <c r="P39" i="2" l="1"/>
  <c r="P40" i="2" l="1"/>
  <c r="P41" i="2" l="1"/>
  <c r="P42" i="2" l="1"/>
  <c r="P44" i="2" l="1"/>
  <c r="P43" i="2"/>
  <c r="P45" i="2" l="1"/>
  <c r="P46" i="2" l="1"/>
  <c r="P47" i="2"/>
  <c r="P48" i="2" l="1"/>
  <c r="P49" i="2"/>
  <c r="P50" i="2" l="1"/>
  <c r="P51" i="2"/>
</calcChain>
</file>

<file path=xl/sharedStrings.xml><?xml version="1.0" encoding="utf-8"?>
<sst xmlns="http://schemas.openxmlformats.org/spreadsheetml/2006/main" count="810" uniqueCount="527">
  <si>
    <t>ID</t>
  </si>
  <si>
    <t>User Story</t>
  </si>
  <si>
    <t>Critères d’acceptation</t>
  </si>
  <si>
    <t>Priorité (MoSCoW)</t>
  </si>
  <si>
    <t>US001</t>
  </si>
  <si>
    <t>En tant qu’utilisateur, je veux créer un compte avec une adresse mail et mot de passe afin d’accéder à l’application.</t>
  </si>
  <si>
    <t>Must</t>
  </si>
  <si>
    <t>US002</t>
  </si>
  <si>
    <t>En tant qu’utilisateur, je veux me connecter à l’application avec mon email et mot de passe afin d’accéder à mon compte.</t>
  </si>
  <si>
    <t>US003</t>
  </si>
  <si>
    <t>US004</t>
  </si>
  <si>
    <t>En tant qu’utilisateur, je veux que l’IA me propose des vêtements correspondant à ma garde-robe afin de découvrir des articles adaptés à mes goûts.</t>
  </si>
  <si>
    <t>US005</t>
  </si>
  <si>
    <t>En tant qu’utilisateur, je veux visualiser le vêtement recommandé sur ma photo afin de juger de l’adéquation.</t>
  </si>
  <si>
    <t>US006</t>
  </si>
  <si>
    <t>En tant qu’utilisateur, je veux pouvoir changer la couleur ou le style du vêtement recommandé afin de personnaliser les suggestions.</t>
  </si>
  <si>
    <t>Should</t>
  </si>
  <si>
    <t>US007</t>
  </si>
  <si>
    <t>En tant qu’utilisateur, je veux définir mes styles préférés afin que l’IA me propose des recommandations plus adaptées.</t>
  </si>
  <si>
    <t>US008</t>
  </si>
  <si>
    <t>En tant qu’utilisateur, je veux référencer mes marques préférées afin que l’IA priorise ces marques dans ses recommandations.</t>
  </si>
  <si>
    <t>US009</t>
  </si>
  <si>
    <t>En tant qu’utilisateur, je veux référencer des blogs, sites, ou influenceur(se)s afin que l’IA intègre ces sources dans ses recommandations.</t>
  </si>
  <si>
    <t>Could</t>
  </si>
  <si>
    <t>En tant qu’utilisateur, je veux pouvoir donner un avis sur la pertinence des recommandations afin d’améliorer la qualité du service.</t>
  </si>
  <si>
    <t>US011</t>
  </si>
  <si>
    <t>En tant qu’utilisateur, je veux pouvoir ajouter des produits au panier et valider une commande afin de réaliser un achat.</t>
  </si>
  <si>
    <t>US012</t>
  </si>
  <si>
    <t>En tant qu’utilisateur, je veux gérer mes données personnelles afin d’être en conformité avec le RGPD.</t>
  </si>
  <si>
    <t>Data Scientist</t>
  </si>
  <si>
    <t>Developpeur mobile</t>
  </si>
  <si>
    <t>Data engineer</t>
  </si>
  <si>
    <t>UX/UI designer</t>
  </si>
  <si>
    <t>Testeur QA</t>
  </si>
  <si>
    <t>Product Owner</t>
  </si>
  <si>
    <t>Temps estimé</t>
  </si>
  <si>
    <t>Ressources entrainement modèle</t>
  </si>
  <si>
    <t>Phase de production</t>
  </si>
  <si>
    <t>Maintenance</t>
  </si>
  <si>
    <t>Sprint</t>
  </si>
  <si>
    <t>Durée</t>
  </si>
  <si>
    <t>User Stories</t>
  </si>
  <si>
    <t>Objectifs</t>
  </si>
  <si>
    <t>Profils impliqués</t>
  </si>
  <si>
    <t>Estimation charge (jours)</t>
  </si>
  <si>
    <t>Sprint 1</t>
  </si>
  <si>
    <t>Sprint 2</t>
  </si>
  <si>
    <t>Gestion des photos &amp; garde-robe virtuelle</t>
  </si>
  <si>
    <t>Sprint 3</t>
  </si>
  <si>
    <t>Sprint 4</t>
  </si>
  <si>
    <t>Sprint 5</t>
  </si>
  <si>
    <t>Rôle</t>
  </si>
  <si>
    <t xml:space="preserve">Type </t>
  </si>
  <si>
    <t>Nom du traitement</t>
  </si>
  <si>
    <t>N° / RÉF</t>
  </si>
  <si>
    <t>ref-001</t>
  </si>
  <si>
    <t>Date de création du traitement</t>
  </si>
  <si>
    <t>Mise à jour du traitement</t>
  </si>
  <si>
    <t>Acteurs</t>
  </si>
  <si>
    <t>Nom</t>
  </si>
  <si>
    <t>Adresse</t>
  </si>
  <si>
    <t>Code Postal</t>
  </si>
  <si>
    <t>Ville</t>
  </si>
  <si>
    <t>Pays</t>
  </si>
  <si>
    <t>Téléphone</t>
  </si>
  <si>
    <t>Adresse mél</t>
  </si>
  <si>
    <t>Responsable du traitement</t>
  </si>
  <si>
    <t>Délégué à la protection des données</t>
  </si>
  <si>
    <t>Société du DPO (si celui-ci est externe)</t>
  </si>
  <si>
    <t>Représentant</t>
  </si>
  <si>
    <t>Responsable(s) conjoint(s)</t>
  </si>
  <si>
    <t>Finalité(s) du traitement effectué</t>
  </si>
  <si>
    <t>Finalité principale</t>
  </si>
  <si>
    <t>Sous-finalité 1</t>
  </si>
  <si>
    <t>Sous-finalité 2</t>
  </si>
  <si>
    <t>Sous-finalité 3</t>
  </si>
  <si>
    <t>Sous-finalité 4</t>
  </si>
  <si>
    <t>Sous-finalité 5</t>
  </si>
  <si>
    <t>Catégories de données personnelles concernées</t>
  </si>
  <si>
    <t>Description</t>
  </si>
  <si>
    <t>Durée de conservation</t>
  </si>
  <si>
    <t>État civil, identité, données d'identification, images…</t>
  </si>
  <si>
    <t>Vie personnelle (habitudes de vie, situation familiale, etc.)</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</si>
  <si>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</si>
  <si>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</si>
  <si>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</si>
  <si>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</si>
  <si>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</si>
  <si>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</si>
  <si>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</si>
  <si>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</si>
  <si>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</si>
  <si>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</si>
  <si>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</si>
  <si>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</si>
  <si>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Données concernant la vie sexuelle ou l'orientation sexuelle</t>
  </si>
  <si>
    <t>Données relatives à des condamnations pénales ou  infractions</t>
  </si>
  <si>
    <t>Catégories de personnes concernées</t>
  </si>
  <si>
    <t>Précisions</t>
  </si>
  <si>
    <t>Catégorie de personnes 1</t>
  </si>
  <si>
    <t>Destinataires</t>
  </si>
  <si>
    <t>Type de destinataire</t>
  </si>
  <si>
    <t>Destinataire 1</t>
  </si>
  <si>
    <t>Destinataire 2</t>
  </si>
  <si>
    <t>Destinataire 3</t>
  </si>
  <si>
    <t>Destinataire 4</t>
  </si>
  <si>
    <t>Mesures de sécurité</t>
  </si>
  <si>
    <t>Type de mesure de sécurité</t>
  </si>
  <si>
    <t>Mesure de sécurité 1</t>
  </si>
  <si>
    <t>Mesure de sécurité 2</t>
  </si>
  <si>
    <t>Mesure de sécurité 3</t>
  </si>
  <si>
    <t>Transferts hors UE</t>
  </si>
  <si>
    <t>Destinataire</t>
  </si>
  <si>
    <t>Type de Garanties</t>
  </si>
  <si>
    <t>Liens vers la documentation</t>
  </si>
  <si>
    <t>Organisme destinataire 1</t>
  </si>
  <si>
    <t>Organisme destinataire 2</t>
  </si>
  <si>
    <t>Organisme destinataire 3</t>
  </si>
  <si>
    <t>Organisme destinataire 4</t>
  </si>
  <si>
    <t>Description  du traitement  n° ref-001</t>
  </si>
  <si>
    <t>Gestion des comptes utilisateurs</t>
  </si>
  <si>
    <t>Fashion-insta</t>
  </si>
  <si>
    <t>Paris</t>
  </si>
  <si>
    <t>France</t>
  </si>
  <si>
    <t>01-xx-xx-xx-xx</t>
  </si>
  <si>
    <t>contact@fashion-insta.com</t>
  </si>
  <si>
    <t>/</t>
  </si>
  <si>
    <t>Alicia Lerise</t>
  </si>
  <si>
    <t>a-lerise@fashion-insta.com</t>
  </si>
  <si>
    <t>Permettre la création, la gestion et la suppression d’un compte utilisateur sur l’application mobile Fashion-Insta.</t>
  </si>
  <si>
    <t>Authentifier les utilisateurs lors de la connexion (adresse mail + mot de passe).</t>
  </si>
  <si>
    <t>Gérer les informations du profil utilisateur (nom, prénom, préférences, historique des commandes).</t>
  </si>
  <si>
    <t>Permettre la récupération du mot de passe en cas d’oubli.</t>
  </si>
  <si>
    <t>Gérer la désactivation et la suppression du compte à la demande.</t>
  </si>
  <si>
    <t>Garantir la sécurité et la traçabilité des accès à l’application.</t>
  </si>
  <si>
    <t>Nom, prénom, adresse e-mail, identifiant, mot de passe chiffré</t>
  </si>
  <si>
    <t>Préférences de style, marques favorites, historique de navigation sur l’app</t>
  </si>
  <si>
    <t>Historique d’achats (liens vers système de commande)</t>
  </si>
  <si>
    <t>Adresse IP, logs de connexion</t>
  </si>
  <si>
    <t>Non applicable</t>
  </si>
  <si>
    <t>1 an</t>
  </si>
  <si>
    <t>Client</t>
  </si>
  <si>
    <t>Service internet IT</t>
  </si>
  <si>
    <t>Prestataire cloud</t>
  </si>
  <si>
    <t>Gestion technique des comptes</t>
  </si>
  <si>
    <t>Microsoft Azure</t>
  </si>
  <si>
    <t>Logique</t>
  </si>
  <si>
    <t>Authentification par mot de passe chiffré, gestion de tokens JWT, journalisation de connexion</t>
  </si>
  <si>
    <t>Limitation des accès, sensibilisation RGPD des employés</t>
  </si>
  <si>
    <t>Organisationnelle</t>
  </si>
  <si>
    <t>Physique</t>
  </si>
  <si>
    <t>Hébergement sur data centers Microsoft Azure certifiés ISO 27001</t>
  </si>
  <si>
    <t>Mesure de sécurité 4</t>
  </si>
  <si>
    <t>Technique</t>
  </si>
  <si>
    <t>Titre</t>
  </si>
  <si>
    <t>Facteurs de risque</t>
  </si>
  <si>
    <t>Risque
(événement redouté)</t>
  </si>
  <si>
    <t>Conséquence</t>
  </si>
  <si>
    <t>Action de correction
(si événement redouté avéré)</t>
  </si>
  <si>
    <t>Conséquences
(en coût, délai, qualité, satisfaction client)</t>
  </si>
  <si>
    <t>Criticité
(impact*prob)</t>
  </si>
  <si>
    <t>Actions de prévention
(pour éviter l'événement redouté)</t>
  </si>
  <si>
    <t>Qualité / satisfaction</t>
  </si>
  <si>
    <t>Conformité réglementaire</t>
  </si>
  <si>
    <t>Coût / réputation</t>
  </si>
  <si>
    <t>Expérience utilisateur</t>
  </si>
  <si>
    <t>Ajustement de l’algorithme, recalibrage des filtres</t>
  </si>
  <si>
    <t>Sécurité des paiements</t>
  </si>
  <si>
    <t>Intégration de prestataire certifié PCI-DSS (ex : Stripe)</t>
  </si>
  <si>
    <t>Suspension du service, audit sécurité complet</t>
  </si>
  <si>
    <t>Délai / qualité</t>
  </si>
  <si>
    <t>Qualité des images en entrée</t>
  </si>
  <si>
    <t>Qualité</t>
  </si>
  <si>
    <t>Aide à la prise de photo (guidelines, recadrage automatique)</t>
  </si>
  <si>
    <t>Éthique / transparence IA</t>
  </si>
  <si>
    <t>Satisfaction / réputation</t>
  </si>
  <si>
    <t>Explicabilité du modèle, communication claire sur l’IA</t>
  </si>
  <si>
    <t>Ajout de messages explicatifs, FAQ dédiée</t>
  </si>
  <si>
    <t>Qualité des données d’entraînement</t>
  </si>
  <si>
    <t>Réorientation stratégique, ajout de fonctionnalités différenciantes</t>
  </si>
  <si>
    <t>Compétence de l’équipe IA</t>
  </si>
  <si>
    <t>Revue complète du modèle, appui technique externe</t>
  </si>
  <si>
    <t>Charge multi-projets</t>
  </si>
  <si>
    <t>Délai / qualité / satisfaction</t>
  </si>
  <si>
    <t>Story point</t>
  </si>
  <si>
    <t>UX/UI</t>
  </si>
  <si>
    <t>QA</t>
  </si>
  <si>
    <t>Dev Mobile</t>
  </si>
  <si>
    <t>Data Engineer</t>
  </si>
  <si>
    <t>Qualité / coût / satisfaction</t>
  </si>
  <si>
    <t>75001</t>
  </si>
  <si>
    <t>12 rue saint Honoré</t>
  </si>
  <si>
    <t>Total</t>
  </si>
  <si>
    <t>SCRUM master</t>
  </si>
  <si>
    <t>Plannification des bénéfices attendus</t>
  </si>
  <si>
    <t>Mois 1</t>
  </si>
  <si>
    <t>Mois 2</t>
  </si>
  <si>
    <t>Mois 3</t>
  </si>
  <si>
    <t>Mois 4</t>
  </si>
  <si>
    <t>Mois 5</t>
  </si>
  <si>
    <t>Mois 6</t>
  </si>
  <si>
    <t>Mois 7</t>
  </si>
  <si>
    <t>Mois 8</t>
  </si>
  <si>
    <t>Mois 9</t>
  </si>
  <si>
    <t>Mois 10</t>
  </si>
  <si>
    <t>Mois 11</t>
  </si>
  <si>
    <t>Mois 12</t>
  </si>
  <si>
    <t>Période</t>
  </si>
  <si>
    <t>Utilisateurs</t>
  </si>
  <si>
    <t>Gain cumulé (€)</t>
  </si>
  <si>
    <t>Coût cumulé (€)</t>
  </si>
  <si>
    <t>Bénéfice cumulé (€)</t>
  </si>
  <si>
    <t>Coût  (€)</t>
  </si>
  <si>
    <t>Bénéfice  (€)</t>
  </si>
  <si>
    <t>Mois 13</t>
  </si>
  <si>
    <t>Mois 14</t>
  </si>
  <si>
    <t>Mois 15</t>
  </si>
  <si>
    <t>Mois 16</t>
  </si>
  <si>
    <t>Mois 17</t>
  </si>
  <si>
    <t>Mois 18</t>
  </si>
  <si>
    <t>Mois 19</t>
  </si>
  <si>
    <t>Mois 20</t>
  </si>
  <si>
    <t>Mois 21</t>
  </si>
  <si>
    <t>Mois 22</t>
  </si>
  <si>
    <t>Mois 23</t>
  </si>
  <si>
    <t>Mois 24</t>
  </si>
  <si>
    <t>Mois 25</t>
  </si>
  <si>
    <t>Mois 26</t>
  </si>
  <si>
    <t>Mois 27</t>
  </si>
  <si>
    <t>Mois 28</t>
  </si>
  <si>
    <t>Mois 29</t>
  </si>
  <si>
    <t>Mois 30</t>
  </si>
  <si>
    <t>Mois 31</t>
  </si>
  <si>
    <t>Mois 32</t>
  </si>
  <si>
    <t>Mois 33</t>
  </si>
  <si>
    <t>Mois 34</t>
  </si>
  <si>
    <t>Mois 35</t>
  </si>
  <si>
    <t>Mois 36</t>
  </si>
  <si>
    <t>Compte utilisateur &amp; authentification</t>
  </si>
  <si>
    <t>Détail</t>
  </si>
  <si>
    <t>Azure Machine learning</t>
  </si>
  <si>
    <t>Azure SQL database</t>
  </si>
  <si>
    <t>Stockage données</t>
  </si>
  <si>
    <t>Azure App service</t>
  </si>
  <si>
    <t>Azure Key Vault</t>
  </si>
  <si>
    <t>Hébergement API</t>
  </si>
  <si>
    <t>Sécurité des clés API</t>
  </si>
  <si>
    <t>Taux journalier</t>
  </si>
  <si>
    <t>Développement RH</t>
  </si>
  <si>
    <t>Total (15% du développement total)</t>
  </si>
  <si>
    <t>Azure Monitoring</t>
  </si>
  <si>
    <t>Monitoring log, performance, alertes</t>
  </si>
  <si>
    <t>Entrainement modèle IA, déploiement modèle IA, GPU, CPU</t>
  </si>
  <si>
    <t>Data scientist (junior)</t>
  </si>
  <si>
    <t xml:space="preserve"> - Système de notation (ex : étoiles)</t>
  </si>
  <si>
    <t xml:space="preserve"> - Liste de marques vendues par Fashion-Insta</t>
  </si>
  <si>
    <t xml:space="preserve"> - Option pour prioriser les sources</t>
  </si>
  <si>
    <t xml:space="preserve"> - Formulaire création compte</t>
  </si>
  <si>
    <t xml:space="preserve"> - Validation email</t>
  </si>
  <si>
    <t xml:space="preserve"> - Mot de passe conforme aux règles de sécurité</t>
  </si>
  <si>
    <t xml:space="preserve"> - Formulaire connexion</t>
  </si>
  <si>
    <t xml:space="preserve"> - Récupération mot de passe</t>
  </si>
  <si>
    <t xml:space="preserve"> - Prise de photo via l’application</t>
  </si>
  <si>
    <t xml:space="preserve"> - Possibilité de se désinscrire du service</t>
  </si>
  <si>
    <t xml:space="preserve"> - Validation commande</t>
  </si>
  <si>
    <t xml:space="preserve"> - Ajout au panier</t>
  </si>
  <si>
    <t xml:space="preserve"> - Historique des avis</t>
  </si>
  <si>
    <t xml:space="preserve"> - Possibilité de commenter</t>
  </si>
  <si>
    <t xml:space="preserve"> - Possibilité de sélectionner plusieurs styles</t>
  </si>
  <si>
    <t xml:space="preserve"> - Liste de styles proposés</t>
  </si>
  <si>
    <t xml:space="preserve"> - Sélecteur de couleurs et styles</t>
  </si>
  <si>
    <t xml:space="preserve"> - Superposition du vêtement sur la photo</t>
  </si>
  <si>
    <t xml:space="preserve"> - Gestion des erreurs</t>
  </si>
  <si>
    <t xml:space="preserve"> - Gestion des albums / catégories</t>
  </si>
  <si>
    <t xml:space="preserve"> - Affichage clair des recommandation (photo)</t>
  </si>
  <si>
    <t xml:space="preserve"> - Génération de recommandations par l'algorithme (min: 5)</t>
  </si>
  <si>
    <t xml:space="preserve"> - Option de sauvegarde du vêtement (favoris)</t>
  </si>
  <si>
    <t>Développement matériel et logistique</t>
  </si>
  <si>
    <t>Développement</t>
  </si>
  <si>
    <t>Service</t>
  </si>
  <si>
    <t>Azure account storage</t>
  </si>
  <si>
    <t xml:space="preserve">Azure Machine learning </t>
  </si>
  <si>
    <t>Azure Monitor</t>
  </si>
  <si>
    <t>Stockage données utilisateurs (id, préférences, marques ...)</t>
  </si>
  <si>
    <t>Historique (Logs d’actions utilisateur (clics, achats, avis)</t>
  </si>
  <si>
    <t>2 Go</t>
  </si>
  <si>
    <t>Besoin</t>
  </si>
  <si>
    <t>Stockage fichier photo brute</t>
  </si>
  <si>
    <t>Plan B1 Basic (1 vCore, 1,75 Go RAM)</t>
  </si>
  <si>
    <t>Stockage embedding</t>
  </si>
  <si>
    <t>1 Go</t>
  </si>
  <si>
    <t>&gt; 25 000</t>
  </si>
  <si>
    <t>&gt; 10 000 et &lt; 25 000</t>
  </si>
  <si>
    <t>n utilisateur</t>
  </si>
  <si>
    <t xml:space="preserve">&lt; 10 000 </t>
  </si>
  <si>
    <t>2,5 Go</t>
  </si>
  <si>
    <t>&gt; 5 Go</t>
  </si>
  <si>
    <t>3,5 Go</t>
  </si>
  <si>
    <t>8 Go</t>
  </si>
  <si>
    <t>&gt; 15 Go</t>
  </si>
  <si>
    <t>5 Go</t>
  </si>
  <si>
    <t>&gt; 10 Go</t>
  </si>
  <si>
    <t>100 Go</t>
  </si>
  <si>
    <t>250 Go</t>
  </si>
  <si>
    <t>500 Go</t>
  </si>
  <si>
    <t>0,7 Go</t>
  </si>
  <si>
    <t>1,7 Go</t>
  </si>
  <si>
    <t xml:space="preserve"> </t>
  </si>
  <si>
    <t>2-4 Cœur, 14 Go RAM</t>
  </si>
  <si>
    <t>8 Cœurs, 28 Go RAM</t>
  </si>
  <si>
    <t>16 cœur, 56 Go RAM</t>
  </si>
  <si>
    <t>Standard_DS3_v2</t>
  </si>
  <si>
    <t>Standard_DS13_v2</t>
  </si>
  <si>
    <t>Base de données unique – Usage général, Standard S3 (1 vCore, 10 Go stockage)</t>
  </si>
  <si>
    <t>Base de données unique – Usage général, Standard S4 (2 vCores, 20 Go stockage)</t>
  </si>
  <si>
    <t>Base de données unique - Usage général Standard S6 (3 vCores, 50 Go stockage)</t>
  </si>
  <si>
    <t>Stockage Hot Blob (LRS)</t>
  </si>
  <si>
    <t>Fixe</t>
  </si>
  <si>
    <t xml:space="preserve">Hébergement API </t>
  </si>
  <si>
    <t>Gestion des secrets</t>
  </si>
  <si>
    <t>Niveau StandardB76</t>
  </si>
  <si>
    <t>1 cœur, 1,75 Go RAM</t>
  </si>
  <si>
    <t>2 Cœur, 3,5 Go RAM</t>
  </si>
  <si>
    <t>4 Cœurs, 7 Go RAM</t>
  </si>
  <si>
    <t>Plan B2 Basic (2 vCore, 3,5 Go RAM)</t>
  </si>
  <si>
    <t>Plan B3 Basic (4 vCore, 7 Go RAM)</t>
  </si>
  <si>
    <t>Plan Azure Monitor basique</t>
  </si>
  <si>
    <t>Usage</t>
  </si>
  <si>
    <t>Configuration recommandée</t>
  </si>
  <si>
    <t>n profil</t>
  </si>
  <si>
    <t>Photo (métadonnées) - Environs 7,5 photos par profil</t>
  </si>
  <si>
    <t xml:space="preserve">Inférence - Recomandation - Superposition du vetement </t>
  </si>
  <si>
    <t>Entrainement des modèles AI, déploiement des modèles AI, GPU, CPU</t>
  </si>
  <si>
    <t>Hébergement API  / (démo/test)</t>
  </si>
  <si>
    <t>Azure Account Storage</t>
  </si>
  <si>
    <t>variable</t>
  </si>
  <si>
    <t>Année 1 post développement</t>
  </si>
  <si>
    <t>Année 2  post développement</t>
  </si>
  <si>
    <t>Année 3 post développement</t>
  </si>
  <si>
    <t>4 semaines</t>
  </si>
  <si>
    <t>% Utilisateur actifs</t>
  </si>
  <si>
    <t>Les caractéristiques visibles sur les photos peuvent permettre une identification implicite ou explicite de l'origine ethnique ou raciale.</t>
  </si>
  <si>
    <t>Certains vêtements, accessoires ou symboles présents sur les photos pourraient laisser apparaître des informations révélatrices de la religion.</t>
  </si>
  <si>
    <t>La présence du visage sur les photos constitue un élément permettant d'identifier la personne.</t>
  </si>
  <si>
    <t>Analyser les images uploadées pour détecter styles, couleurs, et motifs.</t>
  </si>
  <si>
    <t>Fournir des recommandations de mode personnalisées basées sur les photos et préférences des utilisateurs.</t>
  </si>
  <si>
    <t>Images utilisateurs (photos uploadées)</t>
  </si>
  <si>
    <t>Service interne IT</t>
  </si>
  <si>
    <t>Microsoft Azure (hébergement et traitement)</t>
  </si>
  <si>
    <t>R1</t>
  </si>
  <si>
    <t>R8</t>
  </si>
  <si>
    <t>R2</t>
  </si>
  <si>
    <t>R3</t>
  </si>
  <si>
    <t>R4</t>
  </si>
  <si>
    <t>R5</t>
  </si>
  <si>
    <t>R6</t>
  </si>
  <si>
    <t>R7</t>
  </si>
  <si>
    <t>R9</t>
  </si>
  <si>
    <t>R10</t>
  </si>
  <si>
    <t>R11</t>
  </si>
  <si>
    <t>Coût mensuel</t>
  </si>
  <si>
    <r>
      <t>Étant donné que</t>
    </r>
    <r>
      <rPr>
        <sz val="15"/>
        <color theme="1"/>
        <rFont val="Calibri"/>
        <family val="2"/>
        <scheme val="minor"/>
      </rPr>
      <t xml:space="preserve"> l’équipe IA comprend un data scientist junior,</t>
    </r>
  </si>
  <si>
    <r>
      <t>Si</t>
    </r>
    <r>
      <rPr>
        <sz val="15"/>
        <color theme="1"/>
        <rFont val="Calibri"/>
        <family val="2"/>
        <scheme val="minor"/>
      </rPr>
      <t xml:space="preserve"> ce data scientist manque d’expérience sur ce projet complexe,</t>
    </r>
  </si>
  <si>
    <r>
      <t>Alors</t>
    </r>
    <r>
      <rPr>
        <sz val="15"/>
        <color theme="1"/>
        <rFont val="Calibri"/>
        <family val="2"/>
        <scheme val="minor"/>
      </rPr>
      <t xml:space="preserve"> des erreurs de modélisation peuvent arriver et le développement pourrait prendre plus de temps ce qui impacterait  le délai et la qualité.</t>
    </r>
  </si>
  <si>
    <r>
      <t>Étant donné que</t>
    </r>
    <r>
      <rPr>
        <sz val="15"/>
        <color theme="1"/>
        <rFont val="Calibri"/>
        <family val="2"/>
        <scheme val="minor"/>
      </rPr>
      <t xml:space="preserve"> l’équipe travaille sur plusieurs projets en parallèle,</t>
    </r>
  </si>
  <si>
    <r>
      <t>Si</t>
    </r>
    <r>
      <rPr>
        <sz val="15"/>
        <color theme="1"/>
        <rFont val="Calibri"/>
        <family val="2"/>
        <scheme val="minor"/>
      </rPr>
      <t xml:space="preserve"> l’organisation du travail n’est pas optimisée</t>
    </r>
  </si>
  <si>
    <r>
      <t>Alors</t>
    </r>
    <r>
      <rPr>
        <sz val="15"/>
        <color theme="1"/>
        <rFont val="Calibri"/>
        <family val="2"/>
        <scheme val="minor"/>
      </rPr>
      <t xml:space="preserve"> une baisse de productivité et des retards cumulés vont affecter délai, qualité et satisfaction.</t>
    </r>
  </si>
  <si>
    <r>
      <t>Si</t>
    </r>
    <r>
      <rPr>
        <sz val="15"/>
        <color theme="1"/>
        <rFont val="Calibri"/>
        <family val="2"/>
        <scheme val="minor"/>
      </rPr>
      <t xml:space="preserve"> un biais de recommandation se produit (ex : discrimination des styles, morphologie ou genre),</t>
    </r>
  </si>
  <si>
    <r>
      <t>Étant donné que</t>
    </r>
    <r>
      <rPr>
        <sz val="15"/>
        <color theme="1"/>
        <rFont val="Calibri"/>
        <family val="2"/>
        <scheme val="minor"/>
      </rPr>
      <t xml:space="preserve"> les données d’images utilisateurs sont sensibles,</t>
    </r>
  </si>
  <si>
    <r>
      <t>Si</t>
    </r>
    <r>
      <rPr>
        <sz val="15"/>
        <color theme="1"/>
        <rFont val="Calibri"/>
        <family val="2"/>
        <scheme val="minor"/>
      </rPr>
      <t xml:space="preserve"> une fuite de ces données survient,</t>
    </r>
  </si>
  <si>
    <r>
      <t>Étant donné que</t>
    </r>
    <r>
      <rPr>
        <sz val="15"/>
        <color theme="1"/>
        <rFont val="Calibri"/>
        <family val="2"/>
        <scheme val="minor"/>
      </rPr>
      <t xml:space="preserve"> la réglementation RGPD impose des contraintes strictes,</t>
    </r>
  </si>
  <si>
    <r>
      <t>Si</t>
    </r>
    <r>
      <rPr>
        <sz val="15"/>
        <color theme="1"/>
        <rFont val="Calibri"/>
        <family val="2"/>
        <scheme val="minor"/>
      </rPr>
      <t xml:space="preserve"> il y a une non-conformité,</t>
    </r>
  </si>
  <si>
    <r>
      <t>Étant donné que</t>
    </r>
    <r>
      <rPr>
        <sz val="15"/>
        <color theme="1"/>
        <rFont val="Calibri"/>
        <family val="2"/>
        <scheme val="minor"/>
      </rPr>
      <t xml:space="preserve"> l’expérience utilisateur dépend des recommandations,</t>
    </r>
  </si>
  <si>
    <r>
      <t>Si</t>
    </r>
    <r>
      <rPr>
        <sz val="15"/>
        <color theme="1"/>
        <rFont val="Calibri"/>
        <family val="2"/>
        <scheme val="minor"/>
      </rPr>
      <t xml:space="preserve"> les recommandations sont peu pertinentes,</t>
    </r>
  </si>
  <si>
    <r>
      <t>Alors</t>
    </r>
    <r>
      <rPr>
        <sz val="15"/>
        <color theme="1"/>
        <rFont val="Calibri"/>
        <family val="2"/>
        <scheme val="minor"/>
      </rPr>
      <t xml:space="preserve"> la satisfaction baisse, l'application est mal évaéluée, et peuet être désinstallée.</t>
    </r>
  </si>
  <si>
    <r>
      <t>Si</t>
    </r>
    <r>
      <rPr>
        <sz val="15"/>
        <color theme="1"/>
        <rFont val="Calibri"/>
        <family val="2"/>
        <scheme val="minor"/>
      </rPr>
      <t xml:space="preserve"> une panne survient,</t>
    </r>
  </si>
  <si>
    <r>
      <t>Alors</t>
    </r>
    <r>
      <rPr>
        <sz val="15"/>
        <color theme="1"/>
        <rFont val="Calibri"/>
        <family val="2"/>
        <scheme val="minor"/>
      </rPr>
      <t xml:space="preserve"> l’application est inutilisable, générant une perte de revenus temporaire.</t>
    </r>
  </si>
  <si>
    <r>
      <t>Étant donné que</t>
    </r>
    <r>
      <rPr>
        <sz val="15"/>
        <color theme="1"/>
        <rFont val="Calibri"/>
        <family val="2"/>
        <scheme val="minor"/>
      </rPr>
      <t xml:space="preserve"> la sécurité des paiements est critique,</t>
    </r>
  </si>
  <si>
    <r>
      <t>Si</t>
    </r>
    <r>
      <rPr>
        <sz val="15"/>
        <color theme="1"/>
        <rFont val="Calibri"/>
        <family val="2"/>
        <scheme val="minor"/>
      </rPr>
      <t xml:space="preserve"> une faille dans le module paiement est exploitée,</t>
    </r>
  </si>
  <si>
    <r>
      <t>Alors</t>
    </r>
    <r>
      <rPr>
        <sz val="15"/>
        <color theme="1"/>
        <rFont val="Calibri"/>
        <family val="2"/>
        <scheme val="minor"/>
      </rPr>
      <t xml:space="preserve"> des données bancaires peuvent fuir, avec sanctions à la clé, et une perte de confiance des utilisateurs</t>
    </r>
  </si>
  <si>
    <r>
      <t>Si</t>
    </r>
    <r>
      <rPr>
        <sz val="15"/>
        <color theme="1"/>
        <rFont val="Calibri"/>
        <family val="2"/>
        <scheme val="minor"/>
      </rPr>
      <t xml:space="preserve"> les photos sont floues ou non conformes,</t>
    </r>
  </si>
  <si>
    <r>
      <t>Alors</t>
    </r>
    <r>
      <rPr>
        <sz val="15"/>
        <color theme="1"/>
        <rFont val="Calibri"/>
        <family val="2"/>
        <scheme val="minor"/>
      </rPr>
      <t xml:space="preserve"> les recommandations seront mauvaises, impactant la qualité de la recommandataion et dégraderait la qualité percue du service</t>
    </r>
  </si>
  <si>
    <r>
      <t>Si</t>
    </r>
    <r>
      <rPr>
        <sz val="15"/>
        <color theme="1"/>
        <rFont val="Calibri"/>
        <family val="2"/>
        <scheme val="minor"/>
      </rPr>
      <t xml:space="preserve"> un concurrent lance un produit similaire plus rapidement,</t>
    </r>
  </si>
  <si>
    <r>
      <t>Alors</t>
    </r>
    <r>
      <rPr>
        <sz val="15"/>
        <color theme="1"/>
        <rFont val="Calibri"/>
        <family val="2"/>
        <scheme val="minor"/>
      </rPr>
      <t xml:space="preserve"> nous perdons notre avantage compétitif et des parts de marché.</t>
    </r>
  </si>
  <si>
    <t>Plannification des coûts et bénéfices attendus</t>
  </si>
  <si>
    <t>Détails des coûts estimés pendant la phase de développement</t>
  </si>
  <si>
    <t>Détails des coûts estimés pendant la phase de production</t>
  </si>
  <si>
    <t>Plannification coût des ressources humaines</t>
  </si>
  <si>
    <t>Plannification coût des ressources matérielles et logistiques</t>
  </si>
  <si>
    <t>&lt;  1000</t>
  </si>
  <si>
    <t>&gt; 2500</t>
  </si>
  <si>
    <t>Monitoring log, performance, alerD120:P122tes</t>
  </si>
  <si>
    <t>Données ingérées - traitements :  5 Go Données ingérées + traitement : 6 Go Requetes : 117 Go</t>
  </si>
  <si>
    <t>Données ingérées - traitements : 12 Go Données ingérées + traitement : 14 Go Requetes : 413 Go</t>
  </si>
  <si>
    <t>Données ingérées - traitements : 25 Go  Données ingérées + traitement :  30 Go Requetes :  1584 Go</t>
  </si>
  <si>
    <t>1500000 opérations</t>
  </si>
  <si>
    <t>Standard_DS4_v2</t>
  </si>
  <si>
    <t>Standard_D16s_v3</t>
  </si>
  <si>
    <t>Gains brutes  (€)</t>
  </si>
  <si>
    <t>Gains nets (€)</t>
  </si>
  <si>
    <t>2 semaines</t>
  </si>
  <si>
    <t>Impact
(1 à5)</t>
  </si>
  <si>
    <t>Probabilité
(1 à 5)</t>
  </si>
  <si>
    <t>Story Point</t>
  </si>
  <si>
    <t>En tant qu'utilisateur, je veux pouvoir gérer mon compte (éditer mon profil, supprimer mon compte)</t>
  </si>
  <si>
    <t>En tant qu’utilisateur, je veux me prendre en photo et charger mes photos sur l'application afin de constituer ma garde-robe virtuelle.</t>
  </si>
  <si>
    <t>Concurrence</t>
  </si>
  <si>
    <r>
      <t>Étant donné que</t>
    </r>
    <r>
      <rPr>
        <sz val="15"/>
        <color theme="1"/>
        <rFont val="Calibri"/>
        <family val="2"/>
        <scheme val="minor"/>
      </rPr>
      <t xml:space="preserve"> des concurrents  travaillent sur des solutions similaires,</t>
    </r>
  </si>
  <si>
    <t>Diversification du dataset, audit IA, tests, comité éthique</t>
  </si>
  <si>
    <t>Coûts sous estimés</t>
  </si>
  <si>
    <r>
      <t>Étant donné que</t>
    </r>
    <r>
      <rPr>
        <sz val="15"/>
        <color theme="1"/>
        <rFont val="Calibri"/>
        <family val="2"/>
        <scheme val="minor"/>
      </rPr>
      <t xml:space="preserve"> les coûts des infrastructures dépendent du volume de données</t>
    </r>
  </si>
  <si>
    <t>R12</t>
  </si>
  <si>
    <t>Délai</t>
  </si>
  <si>
    <t>Satisfaction</t>
  </si>
  <si>
    <t>Réputation</t>
  </si>
  <si>
    <t>Cout</t>
  </si>
  <si>
    <t>Valérie Maler</t>
  </si>
  <si>
    <t>v-maler@fashion-insta.com</t>
  </si>
  <si>
    <t>Panne infrastructures</t>
  </si>
  <si>
    <t>- Modification des informations personnelles</t>
  </si>
  <si>
    <t>- Suppression du compte</t>
  </si>
  <si>
    <t>- Confirmation avant suppression</t>
  </si>
  <si>
    <t>US014</t>
  </si>
  <si>
    <t>En tant qu’utilisateur, je veux recevoir des suggestions d’accessoires assortis afin de compléter mes tenues.</t>
  </si>
  <si>
    <t>US015</t>
  </si>
  <si>
    <t xml:space="preserve"> - IA proposant des accessoires associés (chaussures, sacs, etc.)</t>
  </si>
  <si>
    <t xml:space="preserve"> - Système de filtres multiples (prix, couleurs, style, etc.)</t>
  </si>
  <si>
    <t>- Liste des recommandations précédentes</t>
  </si>
  <si>
    <t xml:space="preserve"> - Filtrage par date / type</t>
  </si>
  <si>
    <t xml:space="preserve"> - Tri dynamique des résultats</t>
  </si>
  <si>
    <t>US013</t>
  </si>
  <si>
    <t xml:space="preserve">  panier &amp; paiement, RGPD + avis</t>
  </si>
  <si>
    <t>En tant qu’utilisateur, je veux consulter l’historique de mes recommandations et achats afin de pouvoir retrouver d'anciennes recommandations,</t>
  </si>
  <si>
    <t>Prix mensuel (€)</t>
  </si>
  <si>
    <t>&lt;  10 000</t>
  </si>
  <si>
    <t>Certains éléments visibles sur les photos pourraient indiquer diverses informations sur l'état de santé de l'utilisateur.</t>
  </si>
  <si>
    <t>En tant qu’utilisateur, je veux pouvoir utiliser des filtres avancés (prix, couleur, taille, disponibilité, etc.) afin d’affiner mes recherches.</t>
  </si>
  <si>
    <t xml:space="preserve"> - Réinitialisation facile des filtres</t>
  </si>
  <si>
    <t xml:space="preserve"> - Affichage des accessoires dans la même interface que les vêtements</t>
  </si>
  <si>
    <t xml:space="preserve"> - Visualisation des photos</t>
  </si>
  <si>
    <t xml:space="preserve"> - Option pour prioriser les marques</t>
  </si>
  <si>
    <t xml:space="preserve"> - Possibilité de selectionner plusieurs marques vendues par Fashion-Insta</t>
  </si>
  <si>
    <t xml:space="preserve"> - Choix de la livraison</t>
  </si>
  <si>
    <t xml:space="preserve"> - Paiement sécurisé</t>
  </si>
  <si>
    <t xml:space="preserve"> - Accès aux données</t>
  </si>
  <si>
    <t xml:space="preserve"> - Possibiliter de modifier/ Supprimer des données</t>
  </si>
  <si>
    <t xml:space="preserve"> - Paramétrage de la durée de conservation des données</t>
  </si>
  <si>
    <t xml:space="preserve"> - Paramétrage de la purge automatique après un délai d'inactivité</t>
  </si>
  <si>
    <t>Charge idéal</t>
  </si>
  <si>
    <r>
      <t>Étant donné que</t>
    </r>
    <r>
      <rPr>
        <sz val="15"/>
        <color theme="1"/>
        <rFont val="Calibri"/>
        <family val="2"/>
        <scheme val="minor"/>
      </rPr>
      <t xml:space="preserve"> les données d’entraînement peuvent être biaisées,</t>
    </r>
  </si>
  <si>
    <t>Qualité / satisfaction / réputation</t>
  </si>
  <si>
    <t>Coût / satisfaction /  réputation</t>
  </si>
  <si>
    <r>
      <t>Étant donné que</t>
    </r>
    <r>
      <rPr>
        <sz val="15"/>
        <color theme="1"/>
        <rFont val="Calibri"/>
        <family val="2"/>
        <scheme val="minor"/>
      </rPr>
      <t xml:space="preserve"> l'application dépend des services du cloud Azure,</t>
    </r>
  </si>
  <si>
    <r>
      <t>Étant donné que</t>
    </r>
    <r>
      <rPr>
        <sz val="15"/>
        <color theme="1"/>
        <rFont val="Calibri"/>
        <family val="2"/>
        <scheme val="minor"/>
      </rPr>
      <t xml:space="preserve"> la qualité des images d'entrée influe sur la détection,</t>
    </r>
  </si>
  <si>
    <t>Réentrainement du modèle ou amélioration du preprocessing</t>
  </si>
  <si>
    <r>
      <t>Si</t>
    </r>
    <r>
      <rPr>
        <sz val="15"/>
        <color theme="1"/>
        <rFont val="Calibri"/>
        <family val="2"/>
        <scheme val="minor"/>
      </rPr>
      <t xml:space="preserve"> les recommandations manquent d’explication ou ne sont pas suffisament claires pour l'utilisateurs</t>
    </r>
  </si>
  <si>
    <r>
      <t>Si</t>
    </r>
    <r>
      <rPr>
        <sz val="15"/>
        <color theme="1"/>
        <rFont val="Calibri"/>
        <family val="2"/>
        <scheme val="minor"/>
      </rPr>
      <t xml:space="preserve"> ces volumes ont mal été estimés ou si les tarifs évoluent pendant le projet</t>
    </r>
  </si>
  <si>
    <t xml:space="preserve">Coût  </t>
  </si>
  <si>
    <t>Coût</t>
  </si>
  <si>
    <t>Inférence, déploiement modèle IA, GPU, CPU</t>
  </si>
  <si>
    <t>US04</t>
  </si>
  <si>
    <t>US05</t>
  </si>
  <si>
    <t>Affichage des recommandations  sur les photo des utilisateurs</t>
  </si>
  <si>
    <t xml:space="preserve">Recommandation de vêtements grâce à l'IA </t>
  </si>
  <si>
    <t>Sprint 6</t>
  </si>
  <si>
    <t>Sprint 7</t>
  </si>
  <si>
    <t>US06</t>
  </si>
  <si>
    <t>US01, US02, US03</t>
  </si>
  <si>
    <t>US0010</t>
  </si>
  <si>
    <t>US016</t>
  </si>
  <si>
    <t xml:space="preserve"> US14, US015, US16</t>
  </si>
  <si>
    <t>US010, US11, US13</t>
  </si>
  <si>
    <t>US07, US008, US009, US012</t>
  </si>
  <si>
    <t>SPRINT 1</t>
  </si>
  <si>
    <t>SPRINT 2</t>
  </si>
  <si>
    <t>SPRINT 3</t>
  </si>
  <si>
    <t>SPRINT 4</t>
  </si>
  <si>
    <t>SPRINT5</t>
  </si>
  <si>
    <t>SPRINT6</t>
  </si>
  <si>
    <t>SPRINT7</t>
  </si>
  <si>
    <t xml:space="preserve">Recommandation </t>
  </si>
  <si>
    <t>Description  du traitement  n° ref-002</t>
  </si>
  <si>
    <t>ref-002</t>
  </si>
  <si>
    <t>Service interne Data</t>
  </si>
  <si>
    <t>Sauvegarde quotidienne, chiffrement des données au repos et en transit, pseudonymisation des données</t>
  </si>
  <si>
    <t>3 ans après la dernière activité de l’utilisateur (ou suppression sur demande)</t>
  </si>
  <si>
    <t>10 ans à compter de la transaction (pour des fins de comptabilité)</t>
  </si>
  <si>
    <t>1 an après la dernière activité ou suppression immédiate sur demande</t>
  </si>
  <si>
    <t>Utiliser les préférences pour affiner les recommandations.</t>
  </si>
  <si>
    <t>Week3 -&gt; Week6</t>
  </si>
  <si>
    <t>Week1 -&gt; Week2</t>
  </si>
  <si>
    <t>Week7 -&gt; Week8</t>
  </si>
  <si>
    <t>Week11 -&gt; Week12</t>
  </si>
  <si>
    <t>Week13 -&gt; Week 16</t>
  </si>
  <si>
    <t>Week17 -&gt; Week20</t>
  </si>
  <si>
    <t>Week21 -&gt; Week24</t>
  </si>
  <si>
    <t xml:space="preserve"> - Visualisation du changement en temps réel</t>
  </si>
  <si>
    <t xml:space="preserve"> - Option pour prioriser les styles</t>
  </si>
  <si>
    <t xml:space="preserve"> - Formulaire pour ajouter / supprimer des sources</t>
  </si>
  <si>
    <r>
      <t>Alors</t>
    </r>
    <r>
      <rPr>
        <sz val="15"/>
        <color theme="1"/>
        <rFont val="Calibri"/>
        <family val="2"/>
        <scheme val="minor"/>
      </rPr>
      <t xml:space="preserve"> des amendes, une perte de confiance des partenaires et clients, ainsi que des pertes d’exploitation peuvent survenir, affectant coût et réputation.</t>
    </r>
  </si>
  <si>
    <t>Consentement explicite, registre CNIL, implication du DPO pour aider l'équipe à faire respecter les grand principes du RGPD.</t>
  </si>
  <si>
    <t>Mise à jour et correction des traitements et de la documentation RGPD</t>
  </si>
  <si>
    <t>Basculer l'application sur un environnement de secours, avertir les utlisateurs de la panne, prendre contact avec le service client d'azure</t>
  </si>
  <si>
    <t>Permettre une redondance régionale via Azure, mise en place d'un contrat SLA.</t>
  </si>
  <si>
    <t>3 ans après la dernière activité de l’utilisateur ou suppression sur demande</t>
  </si>
  <si>
    <t>Planification précise des ressources, focus de l'équipe par sprint, ajout de marges pour gérer les éventuels imprévus liés au second projet</t>
  </si>
  <si>
    <t>Réaffectation des priorités en accord avec les parties prenantes, recrutement temporaire ou ajustement planning</t>
  </si>
  <si>
    <r>
      <t>Alors</t>
    </r>
    <r>
      <rPr>
        <sz val="15"/>
        <color theme="1"/>
        <rFont val="Calibri"/>
        <family val="2"/>
        <scheme val="minor"/>
      </rPr>
      <t xml:space="preserve"> la vie privée des utilisateurs est atteinte, l’image de marque est dégradée, les utilisateurs peuvent perdre confiance, et il y a un risque de sanction de la CNIL.</t>
    </r>
  </si>
  <si>
    <t>Stockage sécurisé Azure, chiffrement des données, anonymisation, stockage des photos utilisateurs uniquement pendant la phase de prédiction, audits de régulier de sécurité</t>
  </si>
  <si>
    <r>
      <t>Alors</t>
    </r>
    <r>
      <rPr>
        <sz val="15"/>
        <color theme="1"/>
        <rFont val="Calibri"/>
        <family val="2"/>
        <scheme val="minor"/>
      </rPr>
      <t xml:space="preserve"> les utilisateurs peuvent se sentir discriminés, et perdre confiance et satisfaction.</t>
    </r>
  </si>
  <si>
    <t>Réentraînement du modèle avec données plus équilibrées</t>
  </si>
  <si>
    <t>Alerte DPO, notification CNIL, prévenir les utilisateurs de la fuite de leur données et des mesures mises en place, purge et rotation des clés de chiffrement</t>
  </si>
  <si>
    <t>Vérifier si le data scientist à déjà réalisé des tâches similaire, lui fournir un mentorat par un senior, revues de code et de notebooks, pair programming</t>
  </si>
  <si>
    <t>Veille du marché continue, benchmark trimestriel, innovation continue</t>
  </si>
  <si>
    <t>Coût total</t>
  </si>
  <si>
    <t>Prestataire IA</t>
  </si>
  <si>
    <t>Acces aux données utilisateurs (images, préférences) pour les tâches IA (amélioration, maintenance du système de recommandation avec réentrainement régulier du modèle)</t>
  </si>
  <si>
    <t>Personnalisation des recommandations (couleur, style, marques, filtres avancés)</t>
  </si>
  <si>
    <r>
      <t>Étant donné que</t>
    </r>
    <r>
      <rPr>
        <sz val="15"/>
        <color theme="1"/>
        <rFont val="Calibri"/>
        <family val="2"/>
        <scheme val="minor"/>
      </rPr>
      <t xml:space="preserve"> la transparence de l’IA est importante pour mettre les utilisateurs en confiance,</t>
    </r>
  </si>
  <si>
    <r>
      <t>Alors</t>
    </r>
    <r>
      <rPr>
        <sz val="15"/>
        <color theme="1"/>
        <rFont val="Calibri"/>
        <family val="2"/>
        <scheme val="minor"/>
      </rPr>
      <t xml:space="preserve"> les utilisateurs pourraient se méfier et abandonner l’application.</t>
    </r>
  </si>
  <si>
    <r>
      <t>Alors</t>
    </r>
    <r>
      <rPr>
        <sz val="15"/>
        <color theme="1"/>
        <rFont val="Calibri"/>
        <family val="2"/>
        <scheme val="minor"/>
      </rPr>
      <t xml:space="preserve"> un dépassement du budget pourrait survenir</t>
    </r>
  </si>
  <si>
    <t>Simulation via Azure Pricing Calculator, suivi coûts, optimisation du choix d'infrastructures utilisées, prévision d'une marge</t>
  </si>
  <si>
    <t>Réduction temporaire des ressources, ajustement budgétaire, abandon de certaines fonctionnalités</t>
  </si>
  <si>
    <t>Tests utilisateurs, boucles de feedback, amélioration continue en tenant compte des retours utilisateurs</t>
  </si>
  <si>
    <t>Sous traitant IA (40% du temps du DS)</t>
  </si>
  <si>
    <t>0,,42</t>
  </si>
  <si>
    <t xml:space="preserve">Personnalisation des recommandations (sources externes, recommandation d'accessoirs assortis) + intégration d'un historique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</si>
</sst>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quot; &quot;##&quot; &quot;##&quot; &quot;##&quot; &quot;#0"/>
  </numFmts>
  <fonts count="36" x14ac:knownFonts="1">
    <font>
      <sz val="11"/>
      <color theme="1"/>
      <name val="Calibri"/>
      <family val="2"/>
      <scheme val="minor"/>
    </font>
    <font>
      <b/>
      <sz val="11"/>
      <color theme="1"/>
      <name val="Calibri"/>
      <family val="2"/>
      <scheme val="minor"/>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u/>
      <sz val="11"/>
      <color rgb="FF0563C1"/>
      <name val="Calibri"/>
      <family val="2"/>
    </font>
    <font>
      <sz val="10"/>
      <color rgb="FF996600"/>
      <name val="Calibri"/>
      <family val="2"/>
    </font>
    <font>
      <sz val="10"/>
      <color rgb="FF333333"/>
      <name val="Calibri"/>
      <family val="2"/>
    </font>
    <font>
      <b/>
      <sz val="14"/>
      <color theme="0"/>
      <name val="Calibri"/>
      <family val="2"/>
      <scheme val="minor"/>
    </font>
    <font>
      <b/>
      <sz val="14"/>
      <color rgb="FFFFFFFF"/>
      <name val="Calibri"/>
      <family val="2"/>
      <scheme val="minor"/>
    </font>
    <font>
      <sz val="11"/>
      <color rgb="FF000000"/>
      <name val="Calibri"/>
      <family val="2"/>
      <scheme val="minor"/>
    </font>
    <font>
      <u/>
      <sz val="11"/>
      <color rgb="FF0563C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u/>
      <sz val="11"/>
      <color theme="10"/>
      <name val="Calibri"/>
      <family val="2"/>
      <scheme val="minor"/>
    </font>
    <font>
      <sz val="12"/>
      <color theme="1"/>
      <name val="Calibri"/>
      <family val="2"/>
      <scheme val="minor"/>
    </font>
    <font>
      <sz val="12"/>
      <color theme="0"/>
      <name val="Calibri"/>
      <family val="2"/>
      <scheme val="minor"/>
    </font>
    <font>
      <sz val="11"/>
      <color theme="0"/>
      <name val="Calibri"/>
      <family val="2"/>
      <scheme val="minor"/>
    </font>
    <font>
      <sz val="8"/>
      <name val="Calibri"/>
      <family val="2"/>
      <scheme val="minor"/>
    </font>
    <font>
      <b/>
      <sz val="20"/>
      <color theme="0"/>
      <name val="Calibri"/>
      <family val="2"/>
      <scheme val="minor"/>
    </font>
    <font>
      <sz val="15"/>
      <color theme="1"/>
      <name val="Calibri"/>
      <family val="2"/>
      <scheme val="minor"/>
    </font>
    <font>
      <b/>
      <sz val="15"/>
      <color theme="1"/>
      <name val="Calibri"/>
      <family val="2"/>
      <scheme val="minor"/>
    </font>
    <font>
      <sz val="11"/>
      <color theme="1"/>
      <name val="Calibri"/>
      <family val="2"/>
      <scheme val="minor"/>
    </font>
    <font>
      <sz val="11"/>
      <color rgb="FFFF0000"/>
      <name val="Calibri"/>
      <family val="2"/>
      <scheme val="minor"/>
    </font>
    <font>
      <sz val="14"/>
      <color theme="0"/>
      <name val="Calibri"/>
      <family val="2"/>
      <scheme val="minor"/>
    </font>
    <font>
      <sz val="14"/>
      <color rgb="FFFF0000"/>
      <name val="Calibri"/>
      <family val="2"/>
      <scheme val="minor"/>
    </font>
    <font>
      <sz val="18"/>
      <color theme="1"/>
      <name val="Calibri"/>
      <family val="2"/>
      <scheme val="minor"/>
    </font>
  </fonts>
  <fills count="27">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8" tint="0.39997558519241921"/>
        <bgColor indexed="64"/>
      </patternFill>
    </fill>
    <fill>
      <patternFill patternType="solid">
        <fgColor rgb="FF002060"/>
        <bgColor rgb="FF004A99"/>
      </patternFill>
    </fill>
    <fill>
      <patternFill patternType="solid">
        <fgColor theme="0"/>
        <bgColor indexed="64"/>
      </patternFill>
    </fill>
    <fill>
      <patternFill patternType="solid">
        <fgColor theme="0" tint="-0.14999847407452621"/>
        <bgColor indexed="64"/>
      </patternFill>
    </fill>
    <fill>
      <patternFill patternType="solid">
        <fgColor rgb="FFE4BC0D"/>
        <bgColor indexed="64"/>
      </patternFill>
    </fill>
    <fill>
      <patternFill patternType="solid">
        <fgColor rgb="FFE87900"/>
        <bgColor indexed="64"/>
      </patternFill>
    </fill>
    <fill>
      <patternFill patternType="solid">
        <fgColor rgb="FFF8F1FD"/>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EAD0FA"/>
        <bgColor indexed="64"/>
      </patternFill>
    </fill>
    <fill>
      <patternFill patternType="solid">
        <fgColor rgb="FFE7F8FF"/>
        <bgColor indexed="64"/>
      </patternFill>
    </fill>
    <fill>
      <patternFill patternType="solid">
        <fgColor theme="0" tint="-0.499984740745262"/>
        <bgColor indexed="64"/>
      </patternFill>
    </fill>
    <fill>
      <patternFill patternType="solid">
        <fgColor rgb="FFE3DFC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right/>
      <top style="thin">
        <color rgb="FFFFFFFF"/>
      </top>
      <bottom/>
      <diagonal/>
    </border>
    <border>
      <left style="thin">
        <color rgb="FFFFFFFF"/>
      </left>
      <right/>
      <top/>
      <bottom/>
      <diagonal/>
    </border>
    <border>
      <left style="thin">
        <color rgb="FFFFFFFF"/>
      </left>
      <right/>
      <top style="thin">
        <color rgb="FFFFFFFF"/>
      </top>
      <bottom/>
      <diagonal/>
    </border>
    <border>
      <left style="thin">
        <color rgb="FFE7E6E6"/>
      </left>
      <right/>
      <top style="thin">
        <color rgb="FFE7E6E6"/>
      </top>
      <bottom/>
      <diagonal/>
    </border>
    <border>
      <left/>
      <right style="thin">
        <color rgb="FFFFFFFF"/>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indexed="64"/>
      </top>
      <bottom/>
      <diagonal/>
    </border>
    <border>
      <left/>
      <right style="thin">
        <color auto="1"/>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23">
    <xf numFmtId="0" fontId="0" fillId="0" borderId="0"/>
    <xf numFmtId="0" fontId="2" fillId="0" borderId="0"/>
    <xf numFmtId="0" fontId="15" fillId="10" borderId="5" applyNumberFormat="0" applyProtection="0"/>
    <xf numFmtId="0" fontId="3" fillId="0" borderId="0" applyNumberFormat="0" applyBorder="0" applyProtection="0"/>
    <xf numFmtId="0" fontId="4" fillId="4" borderId="0" applyNumberFormat="0" applyBorder="0" applyProtection="0"/>
    <xf numFmtId="0" fontId="4" fillId="5" borderId="0" applyNumberFormat="0" applyBorder="0" applyProtection="0"/>
    <xf numFmtId="0" fontId="3" fillId="6" borderId="0" applyNumberFormat="0" applyBorder="0" applyProtection="0"/>
    <xf numFmtId="0" fontId="5" fillId="7" borderId="0" applyNumberFormat="0" applyBorder="0" applyProtection="0"/>
    <xf numFmtId="0" fontId="6" fillId="8" borderId="0" applyNumberFormat="0" applyBorder="0" applyProtection="0"/>
    <xf numFmtId="0" fontId="7" fillId="0" borderId="0" applyNumberFormat="0" applyBorder="0" applyProtection="0"/>
    <xf numFmtId="0" fontId="8" fillId="9" borderId="0" applyNumberFormat="0" applyBorder="0" applyProtection="0"/>
    <xf numFmtId="0" fontId="9" fillId="0" borderId="0" applyNumberFormat="0" applyBorder="0" applyProtection="0"/>
    <xf numFmtId="0" fontId="10" fillId="0" borderId="0" applyNumberFormat="0" applyBorder="0" applyProtection="0"/>
    <xf numFmtId="0" fontId="11" fillId="0" borderId="0" applyNumberFormat="0" applyBorder="0" applyProtection="0"/>
    <xf numFmtId="0" fontId="12" fillId="0" borderId="0" applyNumberFormat="0" applyBorder="0" applyProtection="0"/>
    <xf numFmtId="0" fontId="13" fillId="0" borderId="0" applyNumberFormat="0" applyFill="0" applyBorder="0" applyAlignment="0" applyProtection="0"/>
    <xf numFmtId="0" fontId="14" fillId="10" borderId="0" applyNumberFormat="0" applyBorder="0" applyProtection="0"/>
    <xf numFmtId="0" fontId="2" fillId="0" borderId="0" applyNumberFormat="0" applyFont="0" applyBorder="0" applyProtection="0"/>
    <xf numFmtId="0" fontId="2" fillId="0" borderId="0" applyNumberFormat="0" applyFont="0" applyBorder="0" applyProtection="0"/>
    <xf numFmtId="0" fontId="5" fillId="0" borderId="0" applyNumberFormat="0" applyBorder="0" applyProtection="0"/>
    <xf numFmtId="0" fontId="23" fillId="0" borderId="0" applyNumberFormat="0" applyFill="0" applyBorder="0" applyAlignment="0" applyProtection="0"/>
    <xf numFmtId="44" fontId="31" fillId="0" borderId="0" applyFont="0" applyFill="0" applyBorder="0" applyAlignment="0" applyProtection="0"/>
    <xf numFmtId="0" fontId="24" fillId="0" borderId="0"/>
  </cellStyleXfs>
  <cellXfs count="235">
    <xf numFmtId="0" fontId="0" fillId="0" borderId="0" xfId="0"/>
    <xf numFmtId="0" fontId="17" fillId="12" borderId="10" xfId="1" applyFont="1" applyFill="1" applyBorder="1" applyAlignment="1">
      <alignment horizontal="left" vertical="center" wrapText="1"/>
    </xf>
    <xf numFmtId="0" fontId="17" fillId="12" borderId="10" xfId="1" applyFont="1" applyFill="1" applyBorder="1" applyAlignment="1">
      <alignment horizontal="center" vertical="center"/>
    </xf>
    <xf numFmtId="0" fontId="1" fillId="11" borderId="1" xfId="1" applyFont="1" applyFill="1" applyBorder="1" applyAlignment="1">
      <alignment horizontal="left" vertical="top" wrapText="1"/>
    </xf>
    <xf numFmtId="14" fontId="0" fillId="0" borderId="1" xfId="1" applyNumberFormat="1" applyFont="1" applyBorder="1" applyAlignment="1">
      <alignment horizontal="center" vertical="center"/>
    </xf>
    <xf numFmtId="49" fontId="0" fillId="0" borderId="1" xfId="1" applyNumberFormat="1" applyFont="1" applyBorder="1" applyAlignment="1">
      <alignment horizontal="center" vertical="center"/>
    </xf>
    <xf numFmtId="49" fontId="19" fillId="0" borderId="1" xfId="15" applyNumberFormat="1" applyFont="1" applyFill="1" applyBorder="1" applyAlignment="1">
      <alignment vertical="center"/>
    </xf>
    <xf numFmtId="49" fontId="0" fillId="0" borderId="1" xfId="1" applyNumberFormat="1" applyFont="1" applyBorder="1" applyAlignment="1">
      <alignment horizontal="center" vertical="center" shrinkToFit="1"/>
    </xf>
    <xf numFmtId="14" fontId="0" fillId="0" borderId="1" xfId="1" applyNumberFormat="1" applyFont="1" applyBorder="1" applyAlignment="1">
      <alignment horizontal="center" vertical="center" shrinkToFit="1"/>
    </xf>
    <xf numFmtId="49" fontId="19" fillId="0" borderId="1" xfId="15" applyNumberFormat="1" applyFont="1" applyFill="1" applyBorder="1" applyAlignment="1">
      <alignment horizontal="left" vertical="center"/>
    </xf>
    <xf numFmtId="0" fontId="0" fillId="0" borderId="1" xfId="1" applyFont="1" applyBorder="1"/>
    <xf numFmtId="0" fontId="0" fillId="0" borderId="0" xfId="0" applyAlignment="1">
      <alignment vertical="center"/>
    </xf>
    <xf numFmtId="0" fontId="0" fillId="0" borderId="0" xfId="0" applyAlignment="1">
      <alignment horizontal="left" vertical="center"/>
    </xf>
    <xf numFmtId="49" fontId="0" fillId="0" borderId="1" xfId="1" applyNumberFormat="1" applyFont="1" applyBorder="1" applyAlignment="1">
      <alignment horizontal="left" vertical="top"/>
    </xf>
    <xf numFmtId="49" fontId="1" fillId="0" borderId="1" xfId="1" applyNumberFormat="1" applyFont="1" applyBorder="1" applyAlignment="1">
      <alignment horizontal="left" vertical="top" wrapText="1"/>
    </xf>
    <xf numFmtId="0" fontId="0" fillId="0" borderId="0" xfId="0" applyAlignment="1">
      <alignment horizontal="left" vertical="top"/>
    </xf>
    <xf numFmtId="0" fontId="16" fillId="2" borderId="0" xfId="1" applyFont="1" applyFill="1" applyAlignment="1">
      <alignment horizontal="left" vertical="center" wrapText="1"/>
    </xf>
    <xf numFmtId="0" fontId="17" fillId="12" borderId="0" xfId="1" applyFont="1" applyFill="1" applyAlignment="1">
      <alignment horizontal="left" vertical="center" wrapText="1"/>
    </xf>
    <xf numFmtId="0" fontId="17" fillId="12" borderId="11" xfId="1" applyFont="1" applyFill="1" applyBorder="1" applyAlignment="1">
      <alignment horizontal="left" vertical="center"/>
    </xf>
    <xf numFmtId="0" fontId="17" fillId="12" borderId="6" xfId="1" applyFont="1" applyFill="1" applyBorder="1" applyAlignment="1">
      <alignment horizontal="center" vertical="center"/>
    </xf>
    <xf numFmtId="0" fontId="22" fillId="13" borderId="0" xfId="0" applyFont="1" applyFill="1"/>
    <xf numFmtId="0" fontId="24" fillId="13" borderId="0" xfId="0" applyFont="1" applyFill="1"/>
    <xf numFmtId="0" fontId="20" fillId="0" borderId="0" xfId="0" applyFont="1" applyAlignment="1">
      <alignment vertical="center" wrapText="1"/>
    </xf>
    <xf numFmtId="0" fontId="1"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horizontal="center" vertical="center" wrapText="1"/>
    </xf>
    <xf numFmtId="0" fontId="20" fillId="0" borderId="0" xfId="0" applyFont="1" applyAlignment="1">
      <alignment horizontal="center" vertical="center" wrapText="1"/>
    </xf>
    <xf numFmtId="0" fontId="24" fillId="0" borderId="0" xfId="0" applyFont="1"/>
    <xf numFmtId="0" fontId="25" fillId="0" borderId="0" xfId="0" applyFont="1"/>
    <xf numFmtId="0" fontId="24" fillId="0" borderId="0" xfId="0" applyFont="1" applyAlignment="1">
      <alignment horizontal="center"/>
    </xf>
    <xf numFmtId="3" fontId="24" fillId="0" borderId="0" xfId="0" applyNumberFormat="1" applyFont="1"/>
    <xf numFmtId="0" fontId="1" fillId="11" borderId="1" xfId="1" applyFont="1" applyFill="1" applyBorder="1" applyAlignment="1">
      <alignment horizontal="left" vertical="center" wrapText="1"/>
    </xf>
    <xf numFmtId="0" fontId="22" fillId="0" borderId="0" xfId="0" applyFont="1"/>
    <xf numFmtId="0" fontId="21" fillId="14" borderId="1" xfId="0" applyFont="1" applyFill="1" applyBorder="1"/>
    <xf numFmtId="0" fontId="28" fillId="3" borderId="1" xfId="0" applyFont="1" applyFill="1" applyBorder="1" applyAlignment="1">
      <alignment horizontal="center" vertical="center"/>
    </xf>
    <xf numFmtId="0" fontId="28" fillId="3" borderId="0" xfId="0" applyFont="1" applyFill="1" applyAlignment="1">
      <alignment horizontal="center" vertical="center"/>
    </xf>
    <xf numFmtId="0" fontId="28" fillId="3" borderId="15" xfId="0" applyFont="1" applyFill="1" applyBorder="1" applyAlignment="1">
      <alignment horizontal="center" vertical="center"/>
    </xf>
    <xf numFmtId="0" fontId="29" fillId="0" borderId="1" xfId="0" applyFont="1" applyBorder="1" applyAlignment="1">
      <alignment horizontal="center" vertical="center"/>
    </xf>
    <xf numFmtId="0" fontId="29" fillId="0" borderId="1" xfId="0" applyFont="1" applyBorder="1" applyAlignment="1">
      <alignment horizontal="center"/>
    </xf>
    <xf numFmtId="0" fontId="29" fillId="0" borderId="0" xfId="0" applyFont="1"/>
    <xf numFmtId="0" fontId="30" fillId="14" borderId="1" xfId="0" applyFont="1" applyFill="1" applyBorder="1"/>
    <xf numFmtId="0" fontId="29" fillId="0" borderId="1" xfId="0" applyFont="1" applyBorder="1" applyAlignment="1">
      <alignment vertical="center"/>
    </xf>
    <xf numFmtId="0" fontId="29" fillId="0" borderId="0" xfId="0" applyFont="1" applyAlignment="1">
      <alignment vertical="center"/>
    </xf>
    <xf numFmtId="0" fontId="30" fillId="14" borderId="1" xfId="0" applyFont="1" applyFill="1" applyBorder="1" applyAlignment="1">
      <alignment vertical="center"/>
    </xf>
    <xf numFmtId="0" fontId="29" fillId="14" borderId="1" xfId="0" applyFont="1" applyFill="1" applyBorder="1" applyAlignment="1">
      <alignment vertical="center"/>
    </xf>
    <xf numFmtId="0" fontId="29" fillId="0" borderId="2" xfId="0" applyFont="1" applyBorder="1"/>
    <xf numFmtId="0" fontId="29" fillId="13" borderId="2" xfId="0" applyFont="1" applyFill="1" applyBorder="1"/>
    <xf numFmtId="0" fontId="29" fillId="13" borderId="4" xfId="0" applyFont="1" applyFill="1" applyBorder="1"/>
    <xf numFmtId="2" fontId="29" fillId="14" borderId="1" xfId="0" applyNumberFormat="1" applyFont="1" applyFill="1" applyBorder="1" applyAlignment="1">
      <alignment horizontal="center" vertical="center" wrapText="1"/>
    </xf>
    <xf numFmtId="2" fontId="29" fillId="17" borderId="1" xfId="0" applyNumberFormat="1" applyFont="1" applyFill="1" applyBorder="1" applyAlignment="1">
      <alignment horizontal="center" vertical="center" wrapText="1"/>
    </xf>
    <xf numFmtId="2" fontId="29" fillId="19" borderId="1" xfId="0" applyNumberFormat="1" applyFont="1" applyFill="1" applyBorder="1" applyAlignment="1">
      <alignment horizontal="center" vertical="center" wrapText="1"/>
    </xf>
    <xf numFmtId="2" fontId="29" fillId="18" borderId="1" xfId="0" applyNumberFormat="1" applyFont="1" applyFill="1" applyBorder="1" applyAlignment="1">
      <alignment horizontal="center" vertical="center" wrapText="1"/>
    </xf>
    <xf numFmtId="0" fontId="29" fillId="0" borderId="1" xfId="0" applyFont="1" applyBorder="1" applyAlignment="1">
      <alignment horizontal="center" vertical="center" wrapText="1"/>
    </xf>
    <xf numFmtId="0" fontId="28" fillId="3" borderId="22" xfId="0" applyFont="1" applyFill="1" applyBorder="1" applyAlignment="1">
      <alignment horizontal="center" vertical="center"/>
    </xf>
    <xf numFmtId="0" fontId="28" fillId="3" borderId="23" xfId="0" applyFont="1" applyFill="1" applyBorder="1" applyAlignment="1">
      <alignment horizontal="center" vertical="center"/>
    </xf>
    <xf numFmtId="0" fontId="29" fillId="0" borderId="1" xfId="0" applyFont="1" applyBorder="1" applyAlignment="1">
      <alignment vertical="center" wrapText="1"/>
    </xf>
    <xf numFmtId="0" fontId="28" fillId="2" borderId="1" xfId="0" applyFont="1" applyFill="1" applyBorder="1" applyAlignment="1">
      <alignment horizontal="center" vertical="center" wrapText="1"/>
    </xf>
    <xf numFmtId="0" fontId="28" fillId="2" borderId="13" xfId="0" applyFont="1" applyFill="1" applyBorder="1" applyAlignment="1">
      <alignment horizontal="center" vertical="center" wrapText="1"/>
    </xf>
    <xf numFmtId="0" fontId="28" fillId="2" borderId="0" xfId="0" applyFont="1" applyFill="1" applyAlignment="1">
      <alignment horizontal="center" vertical="center" wrapText="1"/>
    </xf>
    <xf numFmtId="0" fontId="30" fillId="0" borderId="1" xfId="0" applyFont="1" applyBorder="1" applyAlignment="1">
      <alignment vertical="center" wrapText="1"/>
    </xf>
    <xf numFmtId="0" fontId="30" fillId="16" borderId="1" xfId="0" applyFont="1" applyFill="1" applyBorder="1" applyAlignment="1">
      <alignment horizontal="center" vertical="center" wrapText="1"/>
    </xf>
    <xf numFmtId="0" fontId="0" fillId="0" borderId="0" xfId="0" applyAlignment="1">
      <alignment horizontal="center"/>
    </xf>
    <xf numFmtId="0" fontId="29" fillId="14" borderId="2" xfId="0" applyFont="1" applyFill="1" applyBorder="1" applyAlignment="1">
      <alignment horizontal="center" vertical="center"/>
    </xf>
    <xf numFmtId="0" fontId="22" fillId="13" borderId="0" xfId="0" applyFont="1" applyFill="1" applyAlignment="1">
      <alignment vertical="center"/>
    </xf>
    <xf numFmtId="0" fontId="29" fillId="0" borderId="0" xfId="0" applyFont="1" applyAlignment="1">
      <alignment vertical="center" textRotation="90" wrapText="1"/>
    </xf>
    <xf numFmtId="0" fontId="26" fillId="0" borderId="0" xfId="0" applyFont="1"/>
    <xf numFmtId="164" fontId="13" fillId="0" borderId="1" xfId="15" applyNumberFormat="1" applyFill="1" applyBorder="1" applyAlignment="1">
      <alignment horizontal="left" vertical="center"/>
    </xf>
    <xf numFmtId="0" fontId="30" fillId="15" borderId="1" xfId="0" applyFont="1" applyFill="1" applyBorder="1" applyAlignment="1">
      <alignment horizontal="center" vertical="center" wrapText="1"/>
    </xf>
    <xf numFmtId="0" fontId="29" fillId="0" borderId="1" xfId="0" applyFont="1" applyBorder="1" applyAlignment="1">
      <alignment horizontal="left" vertical="center" wrapText="1"/>
    </xf>
    <xf numFmtId="0" fontId="22" fillId="14" borderId="1" xfId="0" applyFont="1" applyFill="1" applyBorder="1"/>
    <xf numFmtId="0" fontId="29" fillId="14" borderId="1" xfId="0" applyFont="1" applyFill="1" applyBorder="1" applyAlignment="1">
      <alignment horizontal="center"/>
    </xf>
    <xf numFmtId="0" fontId="32" fillId="0" borderId="0" xfId="0" applyFont="1"/>
    <xf numFmtId="0" fontId="0" fillId="0" borderId="0" xfId="0" applyAlignment="1">
      <alignment horizontal="center" vertical="center"/>
    </xf>
    <xf numFmtId="0" fontId="33" fillId="2" borderId="18" xfId="0" applyFont="1" applyFill="1" applyBorder="1"/>
    <xf numFmtId="0" fontId="22" fillId="20" borderId="1" xfId="0" applyFont="1" applyFill="1" applyBorder="1" applyAlignment="1">
      <alignment horizontal="center" vertical="center"/>
    </xf>
    <xf numFmtId="0" fontId="33" fillId="20" borderId="22" xfId="0" applyFont="1" applyFill="1" applyBorder="1"/>
    <xf numFmtId="0" fontId="33" fillId="20" borderId="0" xfId="0" applyFont="1" applyFill="1"/>
    <xf numFmtId="0" fontId="34" fillId="20" borderId="0" xfId="0" applyFont="1" applyFill="1"/>
    <xf numFmtId="0" fontId="22" fillId="20" borderId="0" xfId="0" applyFont="1" applyFill="1"/>
    <xf numFmtId="0" fontId="22" fillId="20" borderId="23" xfId="0" applyFont="1" applyFill="1" applyBorder="1"/>
    <xf numFmtId="0" fontId="22" fillId="13" borderId="22" xfId="0" applyFont="1" applyFill="1" applyBorder="1"/>
    <xf numFmtId="0" fontId="22" fillId="13" borderId="23" xfId="0" applyFont="1" applyFill="1" applyBorder="1"/>
    <xf numFmtId="0" fontId="22" fillId="13" borderId="18" xfId="0" applyFont="1" applyFill="1" applyBorder="1"/>
    <xf numFmtId="0" fontId="22" fillId="13" borderId="20" xfId="0" applyFont="1" applyFill="1" applyBorder="1"/>
    <xf numFmtId="0" fontId="22" fillId="13" borderId="16" xfId="0" applyFont="1" applyFill="1" applyBorder="1"/>
    <xf numFmtId="0" fontId="22" fillId="21" borderId="1" xfId="0" applyFont="1" applyFill="1" applyBorder="1" applyAlignment="1">
      <alignment horizontal="center" vertical="center"/>
    </xf>
    <xf numFmtId="0" fontId="33" fillId="13" borderId="22" xfId="0" applyFont="1" applyFill="1" applyBorder="1"/>
    <xf numFmtId="0" fontId="33" fillId="13" borderId="0" xfId="0" applyFont="1" applyFill="1"/>
    <xf numFmtId="0" fontId="34" fillId="13" borderId="0" xfId="0" applyFont="1" applyFill="1"/>
    <xf numFmtId="0" fontId="22" fillId="21" borderId="22" xfId="0" applyFont="1" applyFill="1" applyBorder="1"/>
    <xf numFmtId="0" fontId="22" fillId="21" borderId="0" xfId="0" applyFont="1" applyFill="1"/>
    <xf numFmtId="0" fontId="22" fillId="21" borderId="23" xfId="0" applyFont="1" applyFill="1" applyBorder="1"/>
    <xf numFmtId="0" fontId="22" fillId="18" borderId="1" xfId="0" applyFont="1" applyFill="1" applyBorder="1" applyAlignment="1">
      <alignment horizontal="center" vertical="center"/>
    </xf>
    <xf numFmtId="0" fontId="22" fillId="18" borderId="22" xfId="0" applyFont="1" applyFill="1" applyBorder="1"/>
    <xf numFmtId="0" fontId="22" fillId="18" borderId="0" xfId="0" applyFont="1" applyFill="1"/>
    <xf numFmtId="0" fontId="22" fillId="18" borderId="23" xfId="0" applyFont="1" applyFill="1" applyBorder="1"/>
    <xf numFmtId="0" fontId="22" fillId="22" borderId="22" xfId="0" applyFont="1" applyFill="1" applyBorder="1"/>
    <xf numFmtId="0" fontId="22" fillId="22" borderId="0" xfId="0" applyFont="1" applyFill="1"/>
    <xf numFmtId="0" fontId="22" fillId="23" borderId="22" xfId="0" applyFont="1" applyFill="1" applyBorder="1"/>
    <xf numFmtId="0" fontId="22" fillId="23" borderId="0" xfId="0" applyFont="1" applyFill="1"/>
    <xf numFmtId="0" fontId="22" fillId="24" borderId="22" xfId="0" applyFont="1" applyFill="1" applyBorder="1"/>
    <xf numFmtId="0" fontId="22" fillId="24" borderId="0" xfId="0" applyFont="1" applyFill="1"/>
    <xf numFmtId="0" fontId="22" fillId="24" borderId="23" xfId="0" applyFont="1" applyFill="1" applyBorder="1"/>
    <xf numFmtId="0" fontId="22" fillId="26" borderId="0" xfId="0" applyFont="1" applyFill="1"/>
    <xf numFmtId="0" fontId="33" fillId="13" borderId="19" xfId="0" applyFont="1" applyFill="1" applyBorder="1"/>
    <xf numFmtId="0" fontId="33" fillId="13" borderId="21" xfId="0" applyFont="1" applyFill="1" applyBorder="1"/>
    <xf numFmtId="0" fontId="33" fillId="13" borderId="17" xfId="0" applyFont="1" applyFill="1" applyBorder="1"/>
    <xf numFmtId="0" fontId="22" fillId="13" borderId="21" xfId="0" applyFont="1" applyFill="1" applyBorder="1"/>
    <xf numFmtId="0" fontId="22" fillId="13" borderId="17" xfId="0" applyFont="1" applyFill="1" applyBorder="1"/>
    <xf numFmtId="0" fontId="22" fillId="13" borderId="19" xfId="0" applyFont="1" applyFill="1" applyBorder="1"/>
    <xf numFmtId="0" fontId="22" fillId="26" borderId="21" xfId="0" applyFont="1" applyFill="1" applyBorder="1"/>
    <xf numFmtId="0" fontId="22" fillId="22" borderId="1" xfId="0" applyFont="1" applyFill="1" applyBorder="1" applyAlignment="1">
      <alignment horizontal="center" vertical="center"/>
    </xf>
    <xf numFmtId="0" fontId="22" fillId="23" borderId="1" xfId="0" applyFont="1" applyFill="1" applyBorder="1" applyAlignment="1">
      <alignment horizontal="center" vertical="center"/>
    </xf>
    <xf numFmtId="0" fontId="22" fillId="24" borderId="1" xfId="0" applyFont="1" applyFill="1" applyBorder="1" applyAlignment="1">
      <alignment horizontal="center" vertical="center"/>
    </xf>
    <xf numFmtId="0" fontId="22" fillId="26" borderId="1" xfId="0" applyFont="1" applyFill="1" applyBorder="1" applyAlignment="1">
      <alignment horizontal="center" vertical="center"/>
    </xf>
    <xf numFmtId="0" fontId="22" fillId="22" borderId="23" xfId="0" applyFont="1" applyFill="1" applyBorder="1"/>
    <xf numFmtId="0" fontId="22" fillId="23" borderId="23" xfId="0" applyFont="1" applyFill="1" applyBorder="1"/>
    <xf numFmtId="0" fontId="22" fillId="26" borderId="23" xfId="0" applyFont="1" applyFill="1" applyBorder="1"/>
    <xf numFmtId="0" fontId="16" fillId="13" borderId="19" xfId="0" applyFont="1" applyFill="1" applyBorder="1" applyAlignment="1">
      <alignment horizontal="center" vertical="center" wrapText="1"/>
    </xf>
    <xf numFmtId="0" fontId="22" fillId="26" borderId="19" xfId="0" applyFont="1" applyFill="1" applyBorder="1"/>
    <xf numFmtId="0" fontId="35" fillId="0" borderId="1" xfId="0" applyFont="1" applyBorder="1" applyAlignment="1">
      <alignment vertical="center" wrapText="1"/>
    </xf>
    <xf numFmtId="0" fontId="35" fillId="0" borderId="1" xfId="0" applyFont="1" applyBorder="1" applyAlignment="1">
      <alignment horizontal="center" vertical="center" wrapText="1"/>
    </xf>
    <xf numFmtId="0" fontId="35" fillId="0" borderId="1" xfId="0" applyFont="1" applyBorder="1"/>
    <xf numFmtId="0" fontId="35" fillId="0" borderId="1" xfId="0" applyFont="1" applyBorder="1" applyAlignment="1">
      <alignment horizontal="center"/>
    </xf>
    <xf numFmtId="4" fontId="0" fillId="0" borderId="0" xfId="0" applyNumberFormat="1"/>
    <xf numFmtId="0" fontId="33" fillId="25" borderId="18" xfId="0" applyFont="1" applyFill="1" applyBorder="1" applyAlignment="1">
      <alignment horizontal="center"/>
    </xf>
    <xf numFmtId="0" fontId="33" fillId="25" borderId="20" xfId="0" applyFont="1" applyFill="1" applyBorder="1" applyAlignment="1">
      <alignment horizontal="center"/>
    </xf>
    <xf numFmtId="0" fontId="33" fillId="25" borderId="16" xfId="0" applyFont="1" applyFill="1" applyBorder="1" applyAlignment="1">
      <alignment horizontal="center"/>
    </xf>
    <xf numFmtId="0" fontId="33" fillId="25" borderId="2" xfId="0" applyFont="1" applyFill="1" applyBorder="1" applyAlignment="1">
      <alignment horizontal="center"/>
    </xf>
    <xf numFmtId="0" fontId="33" fillId="25" borderId="3" xfId="0" applyFont="1" applyFill="1" applyBorder="1" applyAlignment="1">
      <alignment horizontal="center"/>
    </xf>
    <xf numFmtId="0" fontId="33" fillId="25" borderId="4" xfId="0" applyFont="1" applyFill="1" applyBorder="1" applyAlignment="1">
      <alignment horizontal="center"/>
    </xf>
    <xf numFmtId="0" fontId="29" fillId="0" borderId="1" xfId="0" applyFont="1" applyBorder="1" applyAlignment="1">
      <alignment vertical="center" wrapText="1"/>
    </xf>
    <xf numFmtId="0" fontId="29" fillId="0" borderId="15"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1" xfId="0" applyFont="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center"/>
    </xf>
    <xf numFmtId="0" fontId="29" fillId="0" borderId="15"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left" vertical="center" wrapText="1"/>
    </xf>
    <xf numFmtId="0" fontId="29" fillId="0" borderId="13" xfId="0" applyFont="1" applyBorder="1" applyAlignment="1">
      <alignment horizontal="left" vertical="center" wrapText="1"/>
    </xf>
    <xf numFmtId="0" fontId="29" fillId="0" borderId="14" xfId="0" applyFont="1" applyBorder="1" applyAlignment="1">
      <alignment horizontal="left" vertical="center" wrapText="1"/>
    </xf>
    <xf numFmtId="0" fontId="35" fillId="0" borderId="1" xfId="0" applyFont="1" applyBorder="1" applyAlignment="1">
      <alignment horizontal="center" vertical="center" wrapText="1"/>
    </xf>
    <xf numFmtId="0" fontId="35" fillId="0" borderId="15" xfId="0" applyFont="1" applyBorder="1" applyAlignment="1">
      <alignment horizontal="center" vertical="center" wrapText="1"/>
    </xf>
    <xf numFmtId="0" fontId="35" fillId="0" borderId="13" xfId="0" applyFont="1" applyBorder="1" applyAlignment="1">
      <alignment horizontal="center" vertical="center" wrapText="1"/>
    </xf>
    <xf numFmtId="0" fontId="35" fillId="0" borderId="14" xfId="0" applyFont="1" applyBorder="1" applyAlignment="1">
      <alignment horizontal="center" vertical="center" wrapText="1"/>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28" fillId="2" borderId="18" xfId="0" applyFont="1" applyFill="1" applyBorder="1" applyAlignment="1">
      <alignment horizontal="center" vertical="center"/>
    </xf>
    <xf numFmtId="0" fontId="28" fillId="2" borderId="20" xfId="0" applyFont="1" applyFill="1" applyBorder="1" applyAlignment="1">
      <alignment horizontal="center" vertical="center"/>
    </xf>
    <xf numFmtId="0" fontId="28" fillId="2" borderId="16" xfId="0" applyFont="1" applyFill="1" applyBorder="1" applyAlignment="1">
      <alignment horizontal="center" vertical="center"/>
    </xf>
    <xf numFmtId="0" fontId="28" fillId="2" borderId="19" xfId="0" applyFont="1" applyFill="1" applyBorder="1" applyAlignment="1">
      <alignment horizontal="center" vertical="center"/>
    </xf>
    <xf numFmtId="0" fontId="28" fillId="2" borderId="21" xfId="0" applyFont="1" applyFill="1" applyBorder="1" applyAlignment="1">
      <alignment horizontal="center" vertical="center"/>
    </xf>
    <xf numFmtId="0" fontId="28" fillId="2" borderId="17" xfId="0" applyFont="1" applyFill="1" applyBorder="1" applyAlignment="1">
      <alignment horizontal="center" vertical="center"/>
    </xf>
    <xf numFmtId="0" fontId="28" fillId="3" borderId="15" xfId="0" applyFont="1" applyFill="1" applyBorder="1" applyAlignment="1">
      <alignment horizontal="center" vertical="center"/>
    </xf>
    <xf numFmtId="0" fontId="28" fillId="3" borderId="14" xfId="0" applyFont="1" applyFill="1" applyBorder="1" applyAlignment="1">
      <alignment horizontal="center" vertical="center"/>
    </xf>
    <xf numFmtId="0" fontId="28" fillId="3" borderId="18" xfId="0" applyFont="1" applyFill="1" applyBorder="1" applyAlignment="1">
      <alignment horizontal="center" vertical="center"/>
    </xf>
    <xf numFmtId="0" fontId="28" fillId="3" borderId="16" xfId="0" applyFont="1" applyFill="1" applyBorder="1" applyAlignment="1">
      <alignment horizontal="center" vertical="center"/>
    </xf>
    <xf numFmtId="0" fontId="28" fillId="3" borderId="19" xfId="0" applyFont="1" applyFill="1" applyBorder="1" applyAlignment="1">
      <alignment horizontal="center" vertical="center"/>
    </xf>
    <xf numFmtId="0" fontId="28" fillId="3" borderId="17" xfId="0" applyFont="1" applyFill="1" applyBorder="1" applyAlignment="1">
      <alignment horizontal="center" vertical="center"/>
    </xf>
    <xf numFmtId="0" fontId="29" fillId="17" borderId="1" xfId="0" applyFont="1" applyFill="1" applyBorder="1" applyAlignment="1">
      <alignment horizontal="center" vertical="center" textRotation="90" wrapText="1"/>
    </xf>
    <xf numFmtId="0" fontId="28" fillId="2" borderId="0" xfId="0" applyFont="1" applyFill="1" applyAlignment="1">
      <alignment horizontal="center" vertical="center"/>
    </xf>
    <xf numFmtId="0" fontId="29" fillId="14" borderId="2" xfId="0" applyFont="1" applyFill="1" applyBorder="1" applyAlignment="1">
      <alignment horizontal="center" vertical="center" wrapText="1"/>
    </xf>
    <xf numFmtId="0" fontId="29" fillId="14" borderId="4" xfId="0" applyFont="1" applyFill="1" applyBorder="1" applyAlignment="1">
      <alignment horizontal="center" vertical="center" wrapText="1"/>
    </xf>
    <xf numFmtId="0" fontId="22" fillId="14" borderId="2" xfId="0" applyFont="1" applyFill="1" applyBorder="1" applyAlignment="1">
      <alignment horizontal="center"/>
    </xf>
    <xf numFmtId="0" fontId="22" fillId="14" borderId="4" xfId="0" applyFont="1" applyFill="1" applyBorder="1" applyAlignment="1">
      <alignment horizontal="center"/>
    </xf>
    <xf numFmtId="0" fontId="29" fillId="14" borderId="2" xfId="0" applyFont="1" applyFill="1" applyBorder="1" applyAlignment="1">
      <alignment horizontal="center"/>
    </xf>
    <xf numFmtId="0" fontId="29" fillId="14" borderId="4" xfId="0" applyFont="1" applyFill="1" applyBorder="1" applyAlignment="1">
      <alignment horizontal="center"/>
    </xf>
    <xf numFmtId="0" fontId="28" fillId="3" borderId="1" xfId="0" applyFont="1" applyFill="1" applyBorder="1" applyAlignment="1">
      <alignment horizontal="center" vertical="center"/>
    </xf>
    <xf numFmtId="0" fontId="28" fillId="3" borderId="22" xfId="0" applyFont="1" applyFill="1" applyBorder="1" applyAlignment="1">
      <alignment horizontal="center" vertical="center"/>
    </xf>
    <xf numFmtId="0" fontId="28" fillId="3" borderId="23" xfId="0" applyFont="1" applyFill="1" applyBorder="1" applyAlignment="1">
      <alignment horizontal="center" vertical="center"/>
    </xf>
    <xf numFmtId="0" fontId="28" fillId="3" borderId="0" xfId="0" applyFont="1" applyFill="1" applyAlignment="1">
      <alignment horizontal="center" vertical="center"/>
    </xf>
    <xf numFmtId="3" fontId="29" fillId="0" borderId="1" xfId="0" applyNumberFormat="1" applyFont="1" applyBorder="1" applyAlignment="1">
      <alignment horizontal="center" vertical="center"/>
    </xf>
    <xf numFmtId="0" fontId="29" fillId="0" borderId="18"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0" xfId="0" applyFont="1" applyAlignment="1">
      <alignment horizontal="center" vertical="center" wrapText="1"/>
    </xf>
    <xf numFmtId="0" fontId="29" fillId="0" borderId="23"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18" xfId="0" applyFont="1" applyBorder="1" applyAlignment="1">
      <alignment horizontal="center" vertical="center"/>
    </xf>
    <xf numFmtId="0" fontId="29" fillId="0" borderId="20" xfId="0" applyFont="1" applyBorder="1" applyAlignment="1">
      <alignment horizontal="center" vertical="center"/>
    </xf>
    <xf numFmtId="0" fontId="29" fillId="0" borderId="16" xfId="0" applyFont="1" applyBorder="1" applyAlignment="1">
      <alignment horizontal="center" vertical="center"/>
    </xf>
    <xf numFmtId="0" fontId="29" fillId="0" borderId="19" xfId="0" applyFont="1" applyBorder="1" applyAlignment="1">
      <alignment horizontal="center" vertical="center"/>
    </xf>
    <xf numFmtId="0" fontId="29" fillId="0" borderId="21" xfId="0" applyFont="1" applyBorder="1" applyAlignment="1">
      <alignment horizontal="center" vertical="center"/>
    </xf>
    <xf numFmtId="0" fontId="29" fillId="0" borderId="17" xfId="0" applyFont="1" applyBorder="1" applyAlignment="1">
      <alignment horizontal="center" vertical="center"/>
    </xf>
    <xf numFmtId="0" fontId="28" fillId="3" borderId="21" xfId="0" applyFont="1" applyFill="1" applyBorder="1" applyAlignment="1">
      <alignment horizontal="center" vertical="center"/>
    </xf>
    <xf numFmtId="0" fontId="29" fillId="19" borderId="1" xfId="0" applyFont="1" applyFill="1" applyBorder="1" applyAlignment="1">
      <alignment horizontal="center" vertical="center" textRotation="90" wrapText="1"/>
    </xf>
    <xf numFmtId="0" fontId="29" fillId="18" borderId="1" xfId="0" applyFont="1" applyFill="1" applyBorder="1" applyAlignment="1">
      <alignment horizontal="center" vertical="center" textRotation="90" wrapText="1"/>
    </xf>
    <xf numFmtId="0" fontId="29" fillId="0" borderId="15" xfId="0" applyFont="1" applyBorder="1" applyAlignment="1">
      <alignment horizontal="left" vertical="center"/>
    </xf>
    <xf numFmtId="0" fontId="29" fillId="0" borderId="14" xfId="0" applyFont="1" applyBorder="1" applyAlignment="1">
      <alignment horizontal="left" vertical="center"/>
    </xf>
    <xf numFmtId="0" fontId="30" fillId="19" borderId="2" xfId="0" applyFont="1" applyFill="1" applyBorder="1" applyAlignment="1">
      <alignment horizontal="center" vertical="center"/>
    </xf>
    <xf numFmtId="0" fontId="30" fillId="19" borderId="3" xfId="0" applyFont="1" applyFill="1" applyBorder="1" applyAlignment="1">
      <alignment horizontal="center" vertical="center"/>
    </xf>
    <xf numFmtId="0" fontId="30" fillId="19" borderId="4" xfId="0" applyFont="1" applyFill="1" applyBorder="1" applyAlignment="1">
      <alignment horizontal="center" vertical="center"/>
    </xf>
    <xf numFmtId="0" fontId="29" fillId="14" borderId="1" xfId="0" applyFont="1" applyFill="1" applyBorder="1" applyAlignment="1">
      <alignment horizontal="center" vertical="center" textRotation="90" wrapText="1"/>
    </xf>
    <xf numFmtId="0" fontId="30" fillId="19" borderId="2" xfId="0" applyFont="1" applyFill="1" applyBorder="1" applyAlignment="1">
      <alignment horizontal="center"/>
    </xf>
    <xf numFmtId="0" fontId="30" fillId="19" borderId="20" xfId="0" applyFont="1" applyFill="1" applyBorder="1" applyAlignment="1">
      <alignment horizontal="center"/>
    </xf>
    <xf numFmtId="0" fontId="30" fillId="19" borderId="4" xfId="0" applyFont="1" applyFill="1" applyBorder="1" applyAlignment="1">
      <alignment horizontal="center"/>
    </xf>
    <xf numFmtId="0" fontId="29" fillId="0" borderId="22" xfId="0" applyFont="1" applyBorder="1" applyAlignment="1">
      <alignment horizontal="center" vertical="center"/>
    </xf>
    <xf numFmtId="0" fontId="29" fillId="0" borderId="0" xfId="0" applyFont="1" applyAlignment="1">
      <alignment horizontal="center" vertical="center"/>
    </xf>
    <xf numFmtId="0" fontId="29" fillId="0" borderId="23" xfId="0" applyFont="1" applyBorder="1" applyAlignment="1">
      <alignment horizontal="center" vertical="center"/>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12" borderId="10" xfId="1" applyFont="1" applyFill="1" applyBorder="1" applyAlignment="1">
      <alignment horizontal="center" vertical="center" wrapText="1"/>
    </xf>
    <xf numFmtId="0" fontId="17" fillId="12" borderId="8" xfId="1" applyFont="1" applyFill="1" applyBorder="1" applyAlignment="1">
      <alignment horizontal="center" vertical="center" wrapText="1"/>
    </xf>
    <xf numFmtId="0" fontId="0" fillId="0" borderId="1" xfId="1" applyFont="1" applyBorder="1"/>
    <xf numFmtId="0" fontId="16" fillId="2" borderId="12" xfId="1" applyFont="1" applyFill="1" applyBorder="1" applyAlignment="1">
      <alignment horizontal="center" vertical="center"/>
    </xf>
    <xf numFmtId="0" fontId="16" fillId="2" borderId="9" xfId="1" applyFont="1" applyFill="1" applyBorder="1" applyAlignment="1">
      <alignment horizontal="center" vertical="center"/>
    </xf>
    <xf numFmtId="0" fontId="18" fillId="0" borderId="1" xfId="1" applyFont="1" applyBorder="1"/>
    <xf numFmtId="14" fontId="18" fillId="0" borderId="1" xfId="1" applyNumberFormat="1" applyFont="1" applyBorder="1" applyAlignment="1">
      <alignment horizontal="left" vertical="center"/>
    </xf>
    <xf numFmtId="0" fontId="18" fillId="0" borderId="1" xfId="1" applyFont="1" applyBorder="1" applyAlignment="1">
      <alignment horizontal="left" vertical="center"/>
    </xf>
    <xf numFmtId="14" fontId="18" fillId="0" borderId="1" xfId="1" applyNumberFormat="1" applyFont="1" applyBorder="1" applyAlignment="1">
      <alignment horizontal="left"/>
    </xf>
    <xf numFmtId="0" fontId="18" fillId="0" borderId="1" xfId="1" applyFont="1" applyBorder="1" applyAlignment="1">
      <alignment horizontal="left"/>
    </xf>
    <xf numFmtId="0" fontId="0" fillId="0" borderId="1" xfId="1" applyFont="1" applyBorder="1" applyAlignment="1">
      <alignment vertical="top" wrapText="1"/>
    </xf>
    <xf numFmtId="0" fontId="0" fillId="0" borderId="1" xfId="1" applyFont="1" applyBorder="1" applyAlignment="1">
      <alignment vertical="top"/>
    </xf>
    <xf numFmtId="0" fontId="17" fillId="12" borderId="12" xfId="1" applyFont="1" applyFill="1" applyBorder="1" applyAlignment="1">
      <alignment horizontal="center" vertical="center"/>
    </xf>
    <xf numFmtId="0" fontId="17" fillId="12" borderId="9" xfId="1" applyFont="1" applyFill="1" applyBorder="1" applyAlignment="1">
      <alignment horizontal="center" vertical="center"/>
    </xf>
    <xf numFmtId="0" fontId="17" fillId="12" borderId="7" xfId="1" applyFont="1" applyFill="1" applyBorder="1" applyAlignment="1">
      <alignment horizontal="center" vertical="center"/>
    </xf>
    <xf numFmtId="0" fontId="0" fillId="0" borderId="2" xfId="1" applyFont="1" applyBorder="1"/>
    <xf numFmtId="0" fontId="0" fillId="0" borderId="3" xfId="1" applyFont="1" applyBorder="1"/>
    <xf numFmtId="0" fontId="0" fillId="0" borderId="4" xfId="1" applyFont="1" applyBorder="1"/>
    <xf numFmtId="0" fontId="17" fillId="12" borderId="6" xfId="1" applyFont="1" applyFill="1" applyBorder="1" applyAlignment="1">
      <alignment horizontal="center" vertical="center"/>
    </xf>
    <xf numFmtId="49" fontId="1" fillId="0" borderId="1" xfId="1" applyNumberFormat="1" applyFont="1" applyBorder="1" applyAlignment="1">
      <alignment horizontal="left" vertical="top" wrapText="1"/>
    </xf>
    <xf numFmtId="0" fontId="0" fillId="0" borderId="1" xfId="1" applyFont="1" applyBorder="1" applyAlignment="1">
      <alignment vertical="center" wrapText="1"/>
    </xf>
    <xf numFmtId="0" fontId="0" fillId="0" borderId="1" xfId="1" applyFont="1" applyBorder="1" applyAlignment="1">
      <alignment wrapText="1"/>
    </xf>
    <xf numFmtId="0" fontId="0" fillId="0" borderId="2" xfId="1" applyFont="1" applyBorder="1" applyAlignment="1">
      <alignment wrapText="1"/>
    </xf>
    <xf numFmtId="0" fontId="0" fillId="0" borderId="3" xfId="1" applyFont="1" applyBorder="1" applyAlignment="1">
      <alignment wrapText="1"/>
    </xf>
    <xf numFmtId="0" fontId="0" fillId="0" borderId="4" xfId="1" applyFont="1" applyBorder="1" applyAlignment="1">
      <alignment wrapText="1"/>
    </xf>
    <xf numFmtId="0" fontId="0" fillId="0" borderId="1" xfId="1" applyFont="1" applyBorder="1" applyAlignment="1">
      <alignment vertical="center"/>
    </xf>
  </cellXfs>
  <cellStyles count="23">
    <cellStyle name="Accent" xfId="3" xr:uid="{BF1829BD-8BA6-4089-8F60-70EFE243C3D2}"/>
    <cellStyle name="Accent 1" xfId="4" xr:uid="{F4A1198B-9F7F-4F0A-A153-A4CC020D8296}"/>
    <cellStyle name="Accent 2" xfId="5" xr:uid="{27759CD2-0153-452E-89AE-7774453A4BCF}"/>
    <cellStyle name="Accent 3" xfId="6" xr:uid="{84EAB6B4-4D6F-4DDA-8685-403C23A3EB76}"/>
    <cellStyle name="Bad" xfId="7" xr:uid="{B1BDC785-9C96-44C4-8024-3F372211E386}"/>
    <cellStyle name="Error" xfId="8" xr:uid="{CF1217C3-8A21-47D5-AFA2-027D1AA89A00}"/>
    <cellStyle name="Footnote" xfId="9" xr:uid="{E6A1354D-B2B9-4523-AAB1-8F6C9BDC89FE}"/>
    <cellStyle name="Good" xfId="10" xr:uid="{19C62B7D-B8D3-431B-AE8D-4BC4553F1990}"/>
    <cellStyle name="Heading" xfId="11" xr:uid="{831A1CE2-59C7-44FB-981F-AD3C547B5EED}"/>
    <cellStyle name="Heading 1" xfId="12" xr:uid="{36F87887-4CE3-492C-A63D-A0010E32AE1D}"/>
    <cellStyle name="Heading 2" xfId="13" xr:uid="{DF6FE724-470C-46D4-B574-36D25BC4EEAB}"/>
    <cellStyle name="Hyperlink" xfId="14" xr:uid="{EBB14A39-3B8F-4EB5-AF07-1B09E31D3DA1}"/>
    <cellStyle name="Lien hypertexte" xfId="15" xr:uid="{88FFF0E9-D344-4CE7-A82D-7391AF790F3F}"/>
    <cellStyle name="Lien hypertexte 2" xfId="20" xr:uid="{0FC4F410-DA36-483C-A6DF-2BB95294ECC1}"/>
    <cellStyle name="Monétaire 2" xfId="21" xr:uid="{FD42C9DB-D843-4DDB-B03C-0861A6B66171}"/>
    <cellStyle name="Neutral" xfId="16" xr:uid="{5F7E0A53-C345-4040-88D3-B573EB9A5F43}"/>
    <cellStyle name="Normal" xfId="0" builtinId="0"/>
    <cellStyle name="Normal 2" xfId="1" xr:uid="{C161C8B0-784C-47BC-9880-8563A9915466}"/>
    <cellStyle name="Normal 2 2" xfId="22" xr:uid="{78D39220-CD24-4566-8A60-B3503031FED5}"/>
    <cellStyle name="Note 2" xfId="2" xr:uid="{C1ECFA08-6704-4F55-B3A9-118B6CC9AA15}"/>
    <cellStyle name="Status" xfId="17" xr:uid="{AEFC0D02-B664-46BF-98D2-CD24D50A2B0F}"/>
    <cellStyle name="Text" xfId="18" xr:uid="{17EA50E6-2013-497F-98A5-05175F805EF7}"/>
    <cellStyle name="Warning" xfId="19" xr:uid="{B6863E5C-4168-49DF-B2D1-B70102FA199E}"/>
  </cellStyles>
  <dxfs count="15">
    <dxf>
      <fill>
        <patternFill>
          <bgColor rgb="FF00B050"/>
        </patternFill>
      </fill>
    </dxf>
    <dxf>
      <fill>
        <patternFill>
          <bgColor rgb="FF92D050"/>
        </patternFill>
      </fill>
    </dxf>
    <dxf>
      <fill>
        <patternFill>
          <bgColor theme="7" tint="0.79998168889431442"/>
        </patternFill>
      </fill>
    </dxf>
    <dxf>
      <fill>
        <patternFill>
          <bgColor theme="5"/>
        </patternFill>
      </fill>
    </dxf>
    <dxf>
      <fill>
        <patternFill>
          <bgColor rgb="FFE87900"/>
        </patternFill>
      </fill>
    </dxf>
    <dxf>
      <fill>
        <patternFill>
          <bgColor rgb="FFE06100"/>
        </patternFill>
      </fill>
    </dxf>
    <dxf>
      <fill>
        <patternFill>
          <bgColor rgb="FFF8BE03"/>
        </patternFill>
      </fill>
    </dxf>
    <dxf>
      <fill>
        <patternFill>
          <bgColor rgb="FFEF9100"/>
        </patternFill>
      </fill>
    </dxf>
    <dxf>
      <fill>
        <patternFill>
          <bgColor rgb="FFF8AB00"/>
        </patternFill>
      </fill>
    </dxf>
    <dxf>
      <fill>
        <patternFill>
          <bgColor rgb="FFE4BA0D"/>
        </patternFill>
      </fill>
    </dxf>
    <dxf>
      <fill>
        <patternFill>
          <bgColor rgb="FFBDB721"/>
        </patternFill>
      </fill>
    </dxf>
    <dxf>
      <font>
        <color rgb="FF00B050"/>
      </font>
    </dxf>
    <dxf>
      <font>
        <color rgb="FF92D050"/>
      </font>
    </dxf>
    <dxf>
      <font>
        <color rgb="FF7030A0"/>
      </font>
    </dxf>
    <dxf>
      <font>
        <color theme="5"/>
      </font>
    </dxf>
  </dxfs>
  <tableStyles count="0" defaultTableStyle="TableStyleMedium2" defaultPivotStyle="PivotStyleLight16"/>
  <colors>
    <mruColors>
      <color rgb="FFE3DFCF"/>
      <color rgb="FFE7F8FF"/>
      <color rgb="FFEAD0FA"/>
      <color rgb="FF001B58"/>
      <color rgb="FFE87900"/>
      <color rgb="FFE06100"/>
      <color rgb="FFBDB721"/>
      <color rgb="FFC55CD6"/>
      <color rgb="FFF8BE03"/>
      <color rgb="FFE4BA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236883187658601E-2"/>
          <c:y val="9.3632628396537673E-2"/>
          <c:w val="0.89596938349005339"/>
          <c:h val="0.57933484213347697"/>
        </c:manualLayout>
      </c:layout>
      <c:barChart>
        <c:barDir val="col"/>
        <c:grouping val="clustered"/>
        <c:varyColors val="0"/>
        <c:ser>
          <c:idx val="0"/>
          <c:order val="0"/>
          <c:spPr>
            <a:solidFill>
              <a:schemeClr val="accent1">
                <a:alpha val="70000"/>
              </a:schemeClr>
            </a:solidFill>
            <a:ln>
              <a:noFill/>
            </a:ln>
            <a:effectLst/>
          </c:spPr>
          <c:invertIfNegative val="0"/>
          <c:dPt>
            <c:idx val="0"/>
            <c:invertIfNegative val="0"/>
            <c:bubble3D val="0"/>
            <c:spPr>
              <a:solidFill>
                <a:srgbClr val="0070C0">
                  <a:alpha val="70000"/>
                </a:srgbClr>
              </a:solidFill>
              <a:ln>
                <a:noFill/>
              </a:ln>
              <a:effectLst/>
            </c:spPr>
            <c:extLst>
              <c:ext xmlns:c16="http://schemas.microsoft.com/office/drawing/2014/chart" uri="{C3380CC4-5D6E-409C-BE32-E72D297353CC}">
                <c16:uniqueId val="{00000001-280E-4ABA-9E56-B73352310680}"/>
              </c:ext>
            </c:extLst>
          </c:dPt>
          <c:dPt>
            <c:idx val="1"/>
            <c:invertIfNegative val="0"/>
            <c:bubble3D val="0"/>
            <c:spPr>
              <a:solidFill>
                <a:srgbClr val="0070C0">
                  <a:alpha val="70000"/>
                </a:srgbClr>
              </a:solidFill>
              <a:ln>
                <a:noFill/>
              </a:ln>
              <a:effectLst/>
            </c:spPr>
            <c:extLst>
              <c:ext xmlns:c16="http://schemas.microsoft.com/office/drawing/2014/chart" uri="{C3380CC4-5D6E-409C-BE32-E72D297353CC}">
                <c16:uniqueId val="{00000003-280E-4ABA-9E56-B73352310680}"/>
              </c:ext>
            </c:extLst>
          </c:dPt>
          <c:dPt>
            <c:idx val="2"/>
            <c:invertIfNegative val="0"/>
            <c:bubble3D val="0"/>
            <c:spPr>
              <a:solidFill>
                <a:srgbClr val="0070C0">
                  <a:alpha val="70000"/>
                </a:srgbClr>
              </a:solidFill>
              <a:ln>
                <a:noFill/>
              </a:ln>
              <a:effectLst/>
            </c:spPr>
            <c:extLst>
              <c:ext xmlns:c16="http://schemas.microsoft.com/office/drawing/2014/chart" uri="{C3380CC4-5D6E-409C-BE32-E72D297353CC}">
                <c16:uniqueId val="{00000005-280E-4ABA-9E56-B73352310680}"/>
              </c:ext>
            </c:extLst>
          </c:dPt>
          <c:dPt>
            <c:idx val="3"/>
            <c:invertIfNegative val="0"/>
            <c:bubble3D val="0"/>
            <c:spPr>
              <a:solidFill>
                <a:srgbClr val="0070C0">
                  <a:alpha val="70000"/>
                </a:srgbClr>
              </a:solidFill>
              <a:ln>
                <a:noFill/>
              </a:ln>
              <a:effectLst/>
            </c:spPr>
            <c:extLst>
              <c:ext xmlns:c16="http://schemas.microsoft.com/office/drawing/2014/chart" uri="{C3380CC4-5D6E-409C-BE32-E72D297353CC}">
                <c16:uniqueId val="{00000007-280E-4ABA-9E56-B73352310680}"/>
              </c:ext>
            </c:extLst>
          </c:dPt>
          <c:dPt>
            <c:idx val="4"/>
            <c:invertIfNegative val="0"/>
            <c:bubble3D val="0"/>
            <c:spPr>
              <a:solidFill>
                <a:srgbClr val="0070C0">
                  <a:alpha val="70000"/>
                </a:srgbClr>
              </a:solidFill>
              <a:ln>
                <a:noFill/>
              </a:ln>
              <a:effectLst/>
            </c:spPr>
            <c:extLst>
              <c:ext xmlns:c16="http://schemas.microsoft.com/office/drawing/2014/chart" uri="{C3380CC4-5D6E-409C-BE32-E72D297353CC}">
                <c16:uniqueId val="{00000009-280E-4ABA-9E56-B73352310680}"/>
              </c:ext>
            </c:extLst>
          </c:dPt>
          <c:dLbls>
            <c:delete val="1"/>
          </c:dLbls>
          <c:cat>
            <c:strRef>
              <c:f>Risque!$N$2:$N$7</c:f>
              <c:strCache>
                <c:ptCount val="5"/>
                <c:pt idx="0">
                  <c:v>Délai</c:v>
                </c:pt>
                <c:pt idx="1">
                  <c:v>Qualité</c:v>
                </c:pt>
                <c:pt idx="2">
                  <c:v>Satisfaction</c:v>
                </c:pt>
                <c:pt idx="3">
                  <c:v>Réputation</c:v>
                </c:pt>
                <c:pt idx="4">
                  <c:v>Cout</c:v>
                </c:pt>
              </c:strCache>
            </c:strRef>
          </c:cat>
          <c:val>
            <c:numRef>
              <c:f>Risque!$O$2:$O$6</c:f>
              <c:numCache>
                <c:formatCode>General</c:formatCode>
                <c:ptCount val="5"/>
                <c:pt idx="0">
                  <c:v>2</c:v>
                </c:pt>
                <c:pt idx="1">
                  <c:v>6</c:v>
                </c:pt>
                <c:pt idx="2">
                  <c:v>6</c:v>
                </c:pt>
                <c:pt idx="3">
                  <c:v>5</c:v>
                </c:pt>
                <c:pt idx="4">
                  <c:v>6</c:v>
                </c:pt>
              </c:numCache>
            </c:numRef>
          </c:val>
          <c:extLst>
            <c:ext xmlns:c16="http://schemas.microsoft.com/office/drawing/2014/chart" uri="{C3380CC4-5D6E-409C-BE32-E72D297353CC}">
              <c16:uniqueId val="{0000000C-280E-4ABA-9E56-B73352310680}"/>
            </c:ext>
          </c:extLst>
        </c:ser>
        <c:dLbls>
          <c:dLblPos val="inEnd"/>
          <c:showLegendKey val="0"/>
          <c:showVal val="1"/>
          <c:showCatName val="0"/>
          <c:showSerName val="0"/>
          <c:showPercent val="0"/>
          <c:showBubbleSize val="0"/>
        </c:dLbls>
        <c:gapWidth val="80"/>
        <c:overlap val="25"/>
        <c:axId val="311032015"/>
        <c:axId val="311048815"/>
      </c:barChart>
      <c:catAx>
        <c:axId val="31103201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5400000" spcFirstLastPara="1" vertOverflow="ellipsis" wrap="square" anchor="ctr" anchorCtr="1"/>
          <a:lstStyle/>
          <a:p>
            <a:pPr>
              <a:defRPr sz="1400" b="0" i="0" u="none" strike="noStrike" kern="1200" cap="none" spc="20" normalizeH="0" baseline="0">
                <a:solidFill>
                  <a:schemeClr val="tx1">
                    <a:lumMod val="65000"/>
                    <a:lumOff val="35000"/>
                  </a:schemeClr>
                </a:solidFill>
                <a:latin typeface="+mn-lt"/>
                <a:ea typeface="+mn-ea"/>
                <a:cs typeface="+mn-cs"/>
              </a:defRPr>
            </a:pPr>
            <a:endParaRPr lang="fr-FR"/>
          </a:p>
        </c:txPr>
        <c:crossAx val="311048815"/>
        <c:crosses val="autoZero"/>
        <c:auto val="1"/>
        <c:lblAlgn val="ctr"/>
        <c:lblOffset val="100"/>
        <c:noMultiLvlLbl val="0"/>
      </c:catAx>
      <c:valAx>
        <c:axId val="311048815"/>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Effectifs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spc="20" baseline="0">
                <a:solidFill>
                  <a:schemeClr val="tx1">
                    <a:lumMod val="65000"/>
                    <a:lumOff val="35000"/>
                  </a:schemeClr>
                </a:solidFill>
                <a:latin typeface="+mn-lt"/>
                <a:ea typeface="+mn-ea"/>
                <a:cs typeface="+mn-cs"/>
              </a:defRPr>
            </a:pPr>
            <a:endParaRPr lang="fr-FR"/>
          </a:p>
        </c:txPr>
        <c:crossAx val="3110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473361284384906E-2"/>
          <c:y val="4.1946134574087329E-2"/>
          <c:w val="0.89862187681085315"/>
          <c:h val="0.81034458031812995"/>
        </c:manualLayout>
      </c:layout>
      <c:lineChart>
        <c:grouping val="standard"/>
        <c:varyColors val="0"/>
        <c:ser>
          <c:idx val="0"/>
          <c:order val="0"/>
          <c:tx>
            <c:v>Charge idéale</c:v>
          </c:tx>
          <c:spPr>
            <a:ln w="28575" cap="rnd">
              <a:solidFill>
                <a:schemeClr val="accent1"/>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Planning!$C$94:$C$127</c15:sqref>
                  </c15:fullRef>
                </c:ext>
              </c:extLst>
              <c:f>Planning!$C$94:$C$117</c:f>
              <c:numCache>
                <c:formatCode>General</c:formatCode>
                <c:ptCount val="24"/>
                <c:pt idx="0">
                  <c:v>78</c:v>
                </c:pt>
                <c:pt idx="1">
                  <c:v>74.75</c:v>
                </c:pt>
                <c:pt idx="2">
                  <c:v>71.5</c:v>
                </c:pt>
                <c:pt idx="3">
                  <c:v>68.25</c:v>
                </c:pt>
                <c:pt idx="4">
                  <c:v>65</c:v>
                </c:pt>
                <c:pt idx="5">
                  <c:v>61.75</c:v>
                </c:pt>
                <c:pt idx="6">
                  <c:v>58.5</c:v>
                </c:pt>
                <c:pt idx="7">
                  <c:v>55.25</c:v>
                </c:pt>
                <c:pt idx="8">
                  <c:v>52</c:v>
                </c:pt>
                <c:pt idx="9">
                  <c:v>48.75</c:v>
                </c:pt>
                <c:pt idx="10">
                  <c:v>45.5</c:v>
                </c:pt>
                <c:pt idx="11">
                  <c:v>42.25</c:v>
                </c:pt>
                <c:pt idx="12">
                  <c:v>39</c:v>
                </c:pt>
                <c:pt idx="13">
                  <c:v>35.75</c:v>
                </c:pt>
                <c:pt idx="14">
                  <c:v>32.5</c:v>
                </c:pt>
                <c:pt idx="15">
                  <c:v>29.25</c:v>
                </c:pt>
                <c:pt idx="16">
                  <c:v>26</c:v>
                </c:pt>
                <c:pt idx="17">
                  <c:v>22.75</c:v>
                </c:pt>
                <c:pt idx="18">
                  <c:v>19.5</c:v>
                </c:pt>
                <c:pt idx="19">
                  <c:v>16.25</c:v>
                </c:pt>
                <c:pt idx="20">
                  <c:v>13</c:v>
                </c:pt>
                <c:pt idx="21">
                  <c:v>9.75</c:v>
                </c:pt>
                <c:pt idx="22">
                  <c:v>6.5</c:v>
                </c:pt>
                <c:pt idx="23">
                  <c:v>3.25</c:v>
                </c:pt>
              </c:numCache>
            </c:numRef>
          </c:val>
          <c:smooth val="0"/>
          <c:extLst>
            <c:ext xmlns:c16="http://schemas.microsoft.com/office/drawing/2014/chart" uri="{C3380CC4-5D6E-409C-BE32-E72D297353CC}">
              <c16:uniqueId val="{00000000-61D8-4941-9DD0-1EA148BA9159}"/>
            </c:ext>
          </c:extLst>
        </c:ser>
        <c:ser>
          <c:idx val="3"/>
          <c:order val="2"/>
          <c:tx>
            <c:v>Charge réelle</c:v>
          </c:tx>
          <c:spPr>
            <a:ln w="28575" cap="rnd">
              <a:solidFill>
                <a:schemeClr val="accent4"/>
              </a:solidFill>
              <a:round/>
            </a:ln>
            <a:effectLst/>
          </c:spPr>
          <c:marker>
            <c:symbol val="none"/>
          </c:marker>
          <c:cat>
            <c:strLit>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Planning!$F$94:$F$127</c15:sqref>
                  </c15:fullRef>
                </c:ext>
              </c:extLst>
              <c:f>Planning!$F$94:$F$117</c:f>
              <c:numCache>
                <c:formatCode>General</c:formatCode>
                <c:ptCount val="24"/>
                <c:pt idx="0">
                  <c:v>78</c:v>
                </c:pt>
                <c:pt idx="1">
                  <c:v>74</c:v>
                </c:pt>
                <c:pt idx="2">
                  <c:v>71</c:v>
                </c:pt>
                <c:pt idx="3">
                  <c:v>68</c:v>
                </c:pt>
                <c:pt idx="4">
                  <c:v>67</c:v>
                </c:pt>
                <c:pt idx="5">
                  <c:v>63</c:v>
                </c:pt>
                <c:pt idx="6">
                  <c:v>60</c:v>
                </c:pt>
                <c:pt idx="7">
                  <c:v>58</c:v>
                </c:pt>
                <c:pt idx="8">
                  <c:v>54</c:v>
                </c:pt>
                <c:pt idx="9">
                  <c:v>51</c:v>
                </c:pt>
                <c:pt idx="10">
                  <c:v>48</c:v>
                </c:pt>
                <c:pt idx="11">
                  <c:v>42</c:v>
                </c:pt>
                <c:pt idx="12">
                  <c:v>39</c:v>
                </c:pt>
                <c:pt idx="13">
                  <c:v>35</c:v>
                </c:pt>
                <c:pt idx="14">
                  <c:v>32</c:v>
                </c:pt>
                <c:pt idx="15">
                  <c:v>27</c:v>
                </c:pt>
                <c:pt idx="16">
                  <c:v>23</c:v>
                </c:pt>
                <c:pt idx="17">
                  <c:v>18</c:v>
                </c:pt>
                <c:pt idx="18">
                  <c:v>14</c:v>
                </c:pt>
                <c:pt idx="19">
                  <c:v>13</c:v>
                </c:pt>
                <c:pt idx="20">
                  <c:v>12</c:v>
                </c:pt>
                <c:pt idx="21">
                  <c:v>8</c:v>
                </c:pt>
                <c:pt idx="22">
                  <c:v>7</c:v>
                </c:pt>
                <c:pt idx="23">
                  <c:v>5</c:v>
                </c:pt>
              </c:numCache>
            </c:numRef>
          </c:val>
          <c:smooth val="0"/>
          <c:extLst>
            <c:ext xmlns:c16="http://schemas.microsoft.com/office/drawing/2014/chart" uri="{C3380CC4-5D6E-409C-BE32-E72D297353CC}">
              <c16:uniqueId val="{00000001-61D8-4941-9DD0-1EA148BA9159}"/>
            </c:ext>
          </c:extLst>
        </c:ser>
        <c:dLbls>
          <c:showLegendKey val="0"/>
          <c:showVal val="0"/>
          <c:showCatName val="0"/>
          <c:showSerName val="0"/>
          <c:showPercent val="0"/>
          <c:showBubbleSize val="0"/>
        </c:dLbls>
        <c:smooth val="0"/>
        <c:axId val="234364351"/>
        <c:axId val="234368671"/>
        <c:extLst>
          <c:ext xmlns:c15="http://schemas.microsoft.com/office/drawing/2012/chart" uri="{02D57815-91ED-43cb-92C2-25804820EDAC}">
            <c15:filteredLineSeries>
              <c15:ser>
                <c:idx val="2"/>
                <c:order val="1"/>
                <c:spPr>
                  <a:ln w="28575" cap="rnd">
                    <a:solidFill>
                      <a:schemeClr val="accent3"/>
                    </a:solidFill>
                    <a:round/>
                  </a:ln>
                  <a:effectLst/>
                </c:spPr>
                <c:marker>
                  <c:symbol val="none"/>
                </c:marker>
                <c:val>
                  <c:numRef>
                    <c:extLst>
                      <c:ext uri="{02D57815-91ED-43cb-92C2-25804820EDAC}">
                        <c15:fullRef>
                          <c15:sqref>Planning!$E$94:$E$127</c15:sqref>
                        </c15:fullRef>
                        <c15:formulaRef>
                          <c15:sqref>Planning!$E$94:$E$117</c15:sqref>
                        </c15:formulaRef>
                      </c:ext>
                    </c:extLst>
                    <c:numCache>
                      <c:formatCode>General</c:formatCode>
                      <c:ptCount val="24"/>
                      <c:pt idx="0">
                        <c:v>3.25</c:v>
                      </c:pt>
                    </c:numCache>
                  </c:numRef>
                </c:val>
                <c:smooth val="0"/>
                <c:extLst>
                  <c:ext xmlns:c16="http://schemas.microsoft.com/office/drawing/2014/chart" uri="{C3380CC4-5D6E-409C-BE32-E72D297353CC}">
                    <c16:uniqueId val="{00000002-61D8-4941-9DD0-1EA148BA9159}"/>
                  </c:ext>
                </c:extLst>
              </c15:ser>
            </c15:filteredLineSeries>
          </c:ext>
        </c:extLst>
      </c:lineChart>
      <c:catAx>
        <c:axId val="23436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34368671"/>
        <c:crosses val="autoZero"/>
        <c:auto val="1"/>
        <c:lblAlgn val="ctr"/>
        <c:lblOffset val="100"/>
        <c:noMultiLvlLbl val="0"/>
      </c:catAx>
      <c:valAx>
        <c:axId val="23436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600"/>
                  <a:t>Charge en story point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234364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813811977638918E-2"/>
          <c:y val="2.5851237697407447E-2"/>
          <c:w val="0.92067798615204888"/>
          <c:h val="0.8367306456395832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2-C5AC-4AA9-8685-849D176D3FE8}"/>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0-C5AC-4AA9-8685-849D176D3FE8}"/>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F-C5AC-4AA9-8685-849D176D3FE8}"/>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E-C5AC-4AA9-8685-849D176D3FE8}"/>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D-C5AC-4AA9-8685-849D176D3FE8}"/>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C-C5AC-4AA9-8685-849D176D3FE8}"/>
              </c:ext>
            </c:extLst>
          </c:dPt>
          <c:dPt>
            <c:idx val="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B-C5AC-4AA9-8685-849D176D3FE8}"/>
              </c:ext>
            </c:extLst>
          </c:dPt>
          <c:dPt>
            <c:idx val="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1-C5AC-4AA9-8685-849D176D3FE8}"/>
              </c:ext>
            </c:extLst>
          </c:dPt>
          <c:dPt>
            <c:idx val="8"/>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46-A5A9-4F5B-BE8A-DF7CAE2B064F}"/>
              </c:ext>
            </c:extLst>
          </c:dPt>
          <c:dPt>
            <c:idx val="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A-C5AC-4AA9-8685-849D176D3FE8}"/>
              </c:ext>
            </c:extLst>
          </c:dPt>
          <c:dPt>
            <c:idx val="1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5-C5AC-4AA9-8685-849D176D3FE8}"/>
              </c:ext>
            </c:extLst>
          </c:dPt>
          <c:dPt>
            <c:idx val="1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9-C5AC-4AA9-8685-849D176D3FE8}"/>
              </c:ext>
            </c:extLst>
          </c:dPt>
          <c:dPt>
            <c:idx val="1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8-C5AC-4AA9-8685-849D176D3FE8}"/>
              </c:ext>
            </c:extLst>
          </c:dPt>
          <c:dPt>
            <c:idx val="1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7-C5AC-4AA9-8685-849D176D3FE8}"/>
              </c:ext>
            </c:extLst>
          </c:dPt>
          <c:dPt>
            <c:idx val="1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6-C5AC-4AA9-8685-849D176D3FE8}"/>
              </c:ext>
            </c:extLst>
          </c:dPt>
          <c:dPt>
            <c:idx val="1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4-C5AC-4AA9-8685-849D176D3FE8}"/>
              </c:ext>
            </c:extLst>
          </c:dPt>
          <c:dPt>
            <c:idx val="1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3-C5AC-4AA9-8685-849D176D3FE8}"/>
              </c:ext>
            </c:extLst>
          </c:dPt>
          <c:dPt>
            <c:idx val="1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2-C5AC-4AA9-8685-849D176D3FE8}"/>
              </c:ext>
            </c:extLst>
          </c:dPt>
          <c:dPt>
            <c:idx val="18"/>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1-C5AC-4AA9-8685-849D176D3FE8}"/>
              </c:ext>
            </c:extLst>
          </c:dPt>
          <c:dPt>
            <c:idx val="1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0-C5AC-4AA9-8685-849D176D3FE8}"/>
              </c:ext>
            </c:extLst>
          </c:dPt>
          <c:dPt>
            <c:idx val="2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F-C5AC-4AA9-8685-849D176D3FE8}"/>
              </c:ext>
            </c:extLst>
          </c:dPt>
          <c:dPt>
            <c:idx val="2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E-C5AC-4AA9-8685-849D176D3FE8}"/>
              </c:ext>
            </c:extLst>
          </c:dPt>
          <c:dPt>
            <c:idx val="2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C5AC-4AA9-8685-849D176D3FE8}"/>
              </c:ext>
            </c:extLst>
          </c:dPt>
          <c:dPt>
            <c:idx val="2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C-C5AC-4AA9-8685-849D176D3FE8}"/>
              </c:ext>
            </c:extLst>
          </c:dPt>
          <c:dPt>
            <c:idx val="2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C5AC-4AA9-8685-849D176D3FE8}"/>
              </c:ext>
            </c:extLst>
          </c:dPt>
          <c:dPt>
            <c:idx val="2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C5AC-4AA9-8685-849D176D3FE8}"/>
              </c:ext>
            </c:extLst>
          </c:dPt>
          <c:dPt>
            <c:idx val="2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C5AC-4AA9-8685-849D176D3FE8}"/>
              </c:ext>
            </c:extLst>
          </c:dPt>
          <c:dPt>
            <c:idx val="2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C5AC-4AA9-8685-849D176D3FE8}"/>
              </c:ext>
            </c:extLst>
          </c:dPt>
          <c:dPt>
            <c:idx val="28"/>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C5AC-4AA9-8685-849D176D3FE8}"/>
              </c:ext>
            </c:extLst>
          </c:dPt>
          <c:dPt>
            <c:idx val="2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C5AC-4AA9-8685-849D176D3FE8}"/>
              </c:ext>
            </c:extLst>
          </c:dPt>
          <c:dPt>
            <c:idx val="3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C5AC-4AA9-8685-849D176D3FE8}"/>
              </c:ext>
            </c:extLst>
          </c:dPt>
          <c:dPt>
            <c:idx val="3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C5AC-4AA9-8685-849D176D3FE8}"/>
              </c:ext>
            </c:extLst>
          </c:dPt>
          <c:dPt>
            <c:idx val="3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C5AC-4AA9-8685-849D176D3FE8}"/>
              </c:ext>
            </c:extLst>
          </c:dPt>
          <c:dPt>
            <c:idx val="3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C5AC-4AA9-8685-849D176D3FE8}"/>
              </c:ext>
            </c:extLst>
          </c:dPt>
          <c:dPt>
            <c:idx val="3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C5AC-4AA9-8685-849D176D3FE8}"/>
              </c:ext>
            </c:extLst>
          </c:dPt>
          <c:dPt>
            <c:idx val="3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0-C5AC-4AA9-8685-849D176D3FE8}"/>
              </c:ext>
            </c:extLst>
          </c:dPt>
          <c:cat>
            <c:strRef>
              <c:f>'Budget et bénéfices'!$G$16:$G$51</c:f>
              <c:strCache>
                <c:ptCount val="36"/>
                <c:pt idx="0">
                  <c:v>Mois 1</c:v>
                </c:pt>
                <c:pt idx="1">
                  <c:v>Mois 2</c:v>
                </c:pt>
                <c:pt idx="2">
                  <c:v>Mois 3</c:v>
                </c:pt>
                <c:pt idx="3">
                  <c:v>Mois 4</c:v>
                </c:pt>
                <c:pt idx="4">
                  <c:v>Mois 5</c:v>
                </c:pt>
                <c:pt idx="5">
                  <c:v>Mois 6</c:v>
                </c:pt>
                <c:pt idx="6">
                  <c:v>Mois 7</c:v>
                </c:pt>
                <c:pt idx="7">
                  <c:v>Mois 8</c:v>
                </c:pt>
                <c:pt idx="8">
                  <c:v>Mois 9</c:v>
                </c:pt>
                <c:pt idx="9">
                  <c:v>Mois 10</c:v>
                </c:pt>
                <c:pt idx="10">
                  <c:v>Mois 11</c:v>
                </c:pt>
                <c:pt idx="11">
                  <c:v>Mois 12</c:v>
                </c:pt>
                <c:pt idx="12">
                  <c:v>Mois 13</c:v>
                </c:pt>
                <c:pt idx="13">
                  <c:v>Mois 14</c:v>
                </c:pt>
                <c:pt idx="14">
                  <c:v>Mois 15</c:v>
                </c:pt>
                <c:pt idx="15">
                  <c:v>Mois 16</c:v>
                </c:pt>
                <c:pt idx="16">
                  <c:v>Mois 17</c:v>
                </c:pt>
                <c:pt idx="17">
                  <c:v>Mois 18</c:v>
                </c:pt>
                <c:pt idx="18">
                  <c:v>Mois 19</c:v>
                </c:pt>
                <c:pt idx="19">
                  <c:v>Mois 20</c:v>
                </c:pt>
                <c:pt idx="20">
                  <c:v>Mois 21</c:v>
                </c:pt>
                <c:pt idx="21">
                  <c:v>Mois 22</c:v>
                </c:pt>
                <c:pt idx="22">
                  <c:v>Mois 23</c:v>
                </c:pt>
                <c:pt idx="23">
                  <c:v>Mois 24</c:v>
                </c:pt>
                <c:pt idx="24">
                  <c:v>Mois 25</c:v>
                </c:pt>
                <c:pt idx="25">
                  <c:v>Mois 26</c:v>
                </c:pt>
                <c:pt idx="26">
                  <c:v>Mois 27</c:v>
                </c:pt>
                <c:pt idx="27">
                  <c:v>Mois 28</c:v>
                </c:pt>
                <c:pt idx="28">
                  <c:v>Mois 29</c:v>
                </c:pt>
                <c:pt idx="29">
                  <c:v>Mois 30</c:v>
                </c:pt>
                <c:pt idx="30">
                  <c:v>Mois 31</c:v>
                </c:pt>
                <c:pt idx="31">
                  <c:v>Mois 32</c:v>
                </c:pt>
                <c:pt idx="32">
                  <c:v>Mois 33</c:v>
                </c:pt>
                <c:pt idx="33">
                  <c:v>Mois 34</c:v>
                </c:pt>
                <c:pt idx="34">
                  <c:v>Mois 35</c:v>
                </c:pt>
                <c:pt idx="35">
                  <c:v>Mois 36</c:v>
                </c:pt>
              </c:strCache>
            </c:strRef>
          </c:cat>
          <c:val>
            <c:numRef>
              <c:f>'Budget et bénéfices'!$P$16:$P$51</c:f>
              <c:numCache>
                <c:formatCode>0.00</c:formatCode>
                <c:ptCount val="36"/>
                <c:pt idx="0">
                  <c:v>-22616.81</c:v>
                </c:pt>
                <c:pt idx="1">
                  <c:v>-45233.62</c:v>
                </c:pt>
                <c:pt idx="2">
                  <c:v>-67850.430000000008</c:v>
                </c:pt>
                <c:pt idx="3">
                  <c:v>-90467.24</c:v>
                </c:pt>
                <c:pt idx="4">
                  <c:v>-97484.05</c:v>
                </c:pt>
                <c:pt idx="5">
                  <c:v>-83581.881500000003</c:v>
                </c:pt>
                <c:pt idx="6">
                  <c:v>-62042.213000000003</c:v>
                </c:pt>
                <c:pt idx="7">
                  <c:v>-32865.044500000004</c:v>
                </c:pt>
                <c:pt idx="8">
                  <c:v>4924.6239999999962</c:v>
                </c:pt>
                <c:pt idx="9">
                  <c:v>49864.292499999996</c:v>
                </c:pt>
                <c:pt idx="10">
                  <c:v>99028.960999999996</c:v>
                </c:pt>
                <c:pt idx="11">
                  <c:v>157943.62949999998</c:v>
                </c:pt>
                <c:pt idx="12">
                  <c:v>226886.57799999998</c:v>
                </c:pt>
                <c:pt idx="13">
                  <c:v>304929.52649999998</c:v>
                </c:pt>
                <c:pt idx="14">
                  <c:v>372897.47499999998</c:v>
                </c:pt>
                <c:pt idx="15">
                  <c:v>441515.42349999998</c:v>
                </c:pt>
                <c:pt idx="16">
                  <c:v>512083.37199999997</c:v>
                </c:pt>
                <c:pt idx="17">
                  <c:v>584276.32049999991</c:v>
                </c:pt>
                <c:pt idx="18">
                  <c:v>657769.26899999985</c:v>
                </c:pt>
                <c:pt idx="19">
                  <c:v>734187.2174999998</c:v>
                </c:pt>
                <c:pt idx="20">
                  <c:v>811580.16599999974</c:v>
                </c:pt>
                <c:pt idx="21">
                  <c:v>891573.11449999968</c:v>
                </c:pt>
                <c:pt idx="22">
                  <c:v>972216.06299999962</c:v>
                </c:pt>
                <c:pt idx="23">
                  <c:v>1053184.0114999996</c:v>
                </c:pt>
                <c:pt idx="24">
                  <c:v>1136101.9599999995</c:v>
                </c:pt>
                <c:pt idx="25">
                  <c:v>1220969.9084999994</c:v>
                </c:pt>
                <c:pt idx="26">
                  <c:v>1307787.8569999994</c:v>
                </c:pt>
                <c:pt idx="27">
                  <c:v>1392140.2754999993</c:v>
                </c:pt>
                <c:pt idx="28">
                  <c:v>1477792.6939999992</c:v>
                </c:pt>
                <c:pt idx="29">
                  <c:v>1564745.1124999991</c:v>
                </c:pt>
                <c:pt idx="30">
                  <c:v>1651047.530999999</c:v>
                </c:pt>
                <c:pt idx="31">
                  <c:v>1738324.9494999989</c:v>
                </c:pt>
                <c:pt idx="32">
                  <c:v>1826577.3679999989</c:v>
                </c:pt>
                <c:pt idx="33">
                  <c:v>1913854.7864999988</c:v>
                </c:pt>
                <c:pt idx="34">
                  <c:v>2001782.2049999987</c:v>
                </c:pt>
                <c:pt idx="35">
                  <c:v>2090359.6234999986</c:v>
                </c:pt>
              </c:numCache>
            </c:numRef>
          </c:val>
          <c:extLst>
            <c:ext xmlns:c16="http://schemas.microsoft.com/office/drawing/2014/chart" uri="{C3380CC4-5D6E-409C-BE32-E72D297353CC}">
              <c16:uniqueId val="{00000000-6553-4CAB-8D8B-7DD2A2191CC8}"/>
            </c:ext>
          </c:extLst>
        </c:ser>
        <c:dLbls>
          <c:showLegendKey val="0"/>
          <c:showVal val="0"/>
          <c:showCatName val="0"/>
          <c:showSerName val="0"/>
          <c:showPercent val="0"/>
          <c:showBubbleSize val="0"/>
        </c:dLbls>
        <c:gapWidth val="13"/>
        <c:axId val="573138448"/>
        <c:axId val="573138928"/>
      </c:barChart>
      <c:catAx>
        <c:axId val="5731384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800" b="0" i="0" u="none" strike="noStrike" baseline="0">
                <a:solidFill>
                  <a:schemeClr val="tx1">
                    <a:lumMod val="65000"/>
                    <a:lumOff val="35000"/>
                  </a:schemeClr>
                </a:solidFill>
                <a:latin typeface="+mn-lt"/>
                <a:ea typeface="+mn-ea"/>
                <a:cs typeface="+mn-cs"/>
              </a:defRPr>
            </a:pPr>
            <a:endParaRPr lang="fr-FR"/>
          </a:p>
        </c:txPr>
        <c:crossAx val="573138928"/>
        <c:crosses val="autoZero"/>
        <c:auto val="1"/>
        <c:lblAlgn val="ctr"/>
        <c:lblOffset val="100"/>
        <c:noMultiLvlLbl val="0"/>
      </c:catAx>
      <c:valAx>
        <c:axId val="573138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baseline="0">
                    <a:solidFill>
                      <a:schemeClr val="tx1">
                        <a:lumMod val="65000"/>
                        <a:lumOff val="35000"/>
                      </a:schemeClr>
                    </a:solidFill>
                    <a:latin typeface="+mn-lt"/>
                    <a:ea typeface="+mn-ea"/>
                    <a:cs typeface="+mn-cs"/>
                  </a:defRPr>
                </a:pPr>
                <a:r>
                  <a:rPr lang="fr-FR"/>
                  <a:t>Bénéfices cumulés (€)</a:t>
                </a:r>
              </a:p>
            </c:rich>
          </c:tx>
          <c:overlay val="0"/>
          <c:spPr>
            <a:noFill/>
            <a:ln>
              <a:noFill/>
            </a:ln>
            <a:effectLst/>
          </c:spPr>
          <c:txPr>
            <a:bodyPr rot="-5400000" spcFirstLastPara="1" vertOverflow="ellipsis" vert="horz" wrap="square" anchor="ctr" anchorCtr="1"/>
            <a:lstStyle/>
            <a:p>
              <a:pPr>
                <a:defRPr sz="1800" b="0" i="0" u="none" strike="noStrike"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baseline="0">
                <a:solidFill>
                  <a:schemeClr val="tx1">
                    <a:lumMod val="65000"/>
                    <a:lumOff val="35000"/>
                  </a:schemeClr>
                </a:solidFill>
                <a:latin typeface="+mn-lt"/>
                <a:ea typeface="+mn-ea"/>
                <a:cs typeface="+mn-cs"/>
              </a:defRPr>
            </a:pPr>
            <a:endParaRPr lang="fr-FR"/>
          </a:p>
        </c:txPr>
        <c:crossAx val="57313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Risque!$I$1</c:f>
              <c:strCache>
                <c:ptCount val="1"/>
                <c:pt idx="0">
                  <c:v>Criticité
(impact*prob)</c:v>
                </c:pt>
              </c:strCache>
            </c:strRef>
          </c:tx>
          <c:spPr>
            <a:ln w="28575" cap="rnd" cmpd="sng" algn="ctr">
              <a:solidFill>
                <a:srgbClr val="00B0F0"/>
              </a:solidFill>
              <a:prstDash val="solid"/>
              <a:round/>
            </a:ln>
            <a:effectLst/>
          </c:spPr>
          <c:marker>
            <c:symbol val="circle"/>
            <c:size val="6"/>
            <c:spPr>
              <a:solidFill>
                <a:srgbClr val="0070C0"/>
              </a:solidFill>
              <a:ln>
                <a:noFill/>
              </a:ln>
              <a:effectLst/>
            </c:spPr>
          </c:marker>
          <c:cat>
            <c:strRef>
              <c:f>Risque!$B$2:$B$13</c:f>
              <c:strCache>
                <c:ptCount val="12"/>
                <c:pt idx="0">
                  <c:v>Compétence de l’équipe IA</c:v>
                </c:pt>
                <c:pt idx="1">
                  <c:v>Charge multi-projets</c:v>
                </c:pt>
                <c:pt idx="2">
                  <c:v>Qualité des données d’entraînement</c:v>
                </c:pt>
                <c:pt idx="3">
                  <c:v>Données sensibles</c:v>
                </c:pt>
                <c:pt idx="4">
                  <c:v>Conformité réglementaire</c:v>
                </c:pt>
                <c:pt idx="5">
                  <c:v>Expérience utilisateur</c:v>
                </c:pt>
                <c:pt idx="6">
                  <c:v>Panne infrastructures</c:v>
                </c:pt>
                <c:pt idx="7">
                  <c:v>Sécurité des paiements</c:v>
                </c:pt>
                <c:pt idx="8">
                  <c:v>Qualité des images en entrée</c:v>
                </c:pt>
                <c:pt idx="9">
                  <c:v>Éthique / transparence IA</c:v>
                </c:pt>
                <c:pt idx="10">
                  <c:v>Coûts sous estimés</c:v>
                </c:pt>
                <c:pt idx="11">
                  <c:v>Concurrence</c:v>
                </c:pt>
              </c:strCache>
            </c:strRef>
          </c:cat>
          <c:val>
            <c:numRef>
              <c:f>Risque!$I$2:$I$13</c:f>
              <c:numCache>
                <c:formatCode>General</c:formatCode>
                <c:ptCount val="12"/>
                <c:pt idx="0">
                  <c:v>12</c:v>
                </c:pt>
                <c:pt idx="1">
                  <c:v>4</c:v>
                </c:pt>
                <c:pt idx="2">
                  <c:v>8</c:v>
                </c:pt>
                <c:pt idx="3">
                  <c:v>15</c:v>
                </c:pt>
                <c:pt idx="4">
                  <c:v>8</c:v>
                </c:pt>
                <c:pt idx="5">
                  <c:v>8</c:v>
                </c:pt>
                <c:pt idx="6">
                  <c:v>6</c:v>
                </c:pt>
                <c:pt idx="7">
                  <c:v>10</c:v>
                </c:pt>
                <c:pt idx="8">
                  <c:v>8</c:v>
                </c:pt>
                <c:pt idx="9">
                  <c:v>4</c:v>
                </c:pt>
                <c:pt idx="10">
                  <c:v>6</c:v>
                </c:pt>
                <c:pt idx="11">
                  <c:v>12</c:v>
                </c:pt>
              </c:numCache>
            </c:numRef>
          </c:val>
          <c:extLst>
            <c:ext xmlns:c16="http://schemas.microsoft.com/office/drawing/2014/chart" uri="{C3380CC4-5D6E-409C-BE32-E72D297353CC}">
              <c16:uniqueId val="{00000000-8D18-4F79-98A6-5EE2E0B0DD78}"/>
            </c:ext>
          </c:extLst>
        </c:ser>
        <c:dLbls>
          <c:showLegendKey val="0"/>
          <c:showVal val="0"/>
          <c:showCatName val="0"/>
          <c:showSerName val="0"/>
          <c:showPercent val="0"/>
          <c:showBubbleSize val="0"/>
        </c:dLbls>
        <c:axId val="544193584"/>
        <c:axId val="544194544"/>
      </c:radarChart>
      <c:catAx>
        <c:axId val="5441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544194544"/>
        <c:crosses val="autoZero"/>
        <c:auto val="1"/>
        <c:lblAlgn val="ctr"/>
        <c:lblOffset val="100"/>
        <c:noMultiLvlLbl val="0"/>
      </c:catAx>
      <c:valAx>
        <c:axId val="54419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2060"/>
            </a:solidFill>
            <a:prstDash val="dash"/>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54419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55CD6"/>
      </a:solidFill>
      <a:prstDash val="sysDash"/>
      <a:round/>
    </a:ln>
    <a:effectLst/>
  </c:spPr>
  <c:txPr>
    <a:bodyPr/>
    <a:lstStyle/>
    <a:p>
      <a:pPr>
        <a:defRPr sz="1800"/>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clustered"/>
        <c:varyColors val="0"/>
        <c:ser>
          <c:idx val="0"/>
          <c:order val="0"/>
          <c:tx>
            <c:v>criticité</c:v>
          </c:tx>
          <c:spPr>
            <a:solidFill>
              <a:schemeClr val="accent2"/>
            </a:solidFill>
            <a:ln>
              <a:noFill/>
            </a:ln>
            <a:effectLst/>
          </c:spPr>
          <c:invertIfNegative val="0"/>
          <c:dPt>
            <c:idx val="0"/>
            <c:invertIfNegative val="0"/>
            <c:bubble3D val="0"/>
            <c:spPr>
              <a:solidFill>
                <a:srgbClr val="E87900"/>
              </a:solidFill>
              <a:ln>
                <a:noFill/>
              </a:ln>
              <a:effectLst/>
            </c:spPr>
            <c:extLst>
              <c:ext xmlns:c16="http://schemas.microsoft.com/office/drawing/2014/chart" uri="{C3380CC4-5D6E-409C-BE32-E72D297353CC}">
                <c16:uniqueId val="{00000002-1DDC-4920-9244-0CA947482A86}"/>
              </c:ext>
            </c:extLst>
          </c:dPt>
          <c:dPt>
            <c:idx val="1"/>
            <c:invertIfNegative val="0"/>
            <c:bubble3D val="0"/>
            <c:spPr>
              <a:solidFill>
                <a:srgbClr val="BDB721"/>
              </a:solidFill>
              <a:ln>
                <a:noFill/>
              </a:ln>
              <a:effectLst/>
            </c:spPr>
            <c:extLst>
              <c:ext xmlns:c16="http://schemas.microsoft.com/office/drawing/2014/chart" uri="{C3380CC4-5D6E-409C-BE32-E72D297353CC}">
                <c16:uniqueId val="{00000012-BFD5-4BF7-8C59-21CCE5BFB1F0}"/>
              </c:ext>
            </c:extLst>
          </c:dPt>
          <c:dPt>
            <c:idx val="2"/>
            <c:invertIfNegative val="0"/>
            <c:bubble3D val="0"/>
            <c:spPr>
              <a:solidFill>
                <a:srgbClr val="F8BE03"/>
              </a:solidFill>
              <a:ln>
                <a:noFill/>
              </a:ln>
              <a:effectLst/>
            </c:spPr>
            <c:extLst>
              <c:ext xmlns:c16="http://schemas.microsoft.com/office/drawing/2014/chart" uri="{C3380CC4-5D6E-409C-BE32-E72D297353CC}">
                <c16:uniqueId val="{0000000A-1953-4C11-9CAD-92BEBF8E52BD}"/>
              </c:ext>
            </c:extLst>
          </c:dPt>
          <c:dPt>
            <c:idx val="3"/>
            <c:invertIfNegative val="0"/>
            <c:bubble3D val="0"/>
            <c:spPr>
              <a:solidFill>
                <a:srgbClr val="E06100"/>
              </a:solidFill>
              <a:ln>
                <a:noFill/>
              </a:ln>
              <a:effectLst/>
            </c:spPr>
            <c:extLst>
              <c:ext xmlns:c16="http://schemas.microsoft.com/office/drawing/2014/chart" uri="{C3380CC4-5D6E-409C-BE32-E72D297353CC}">
                <c16:uniqueId val="{00000013-BFD5-4BF7-8C59-21CCE5BFB1F0}"/>
              </c:ext>
            </c:extLst>
          </c:dPt>
          <c:dPt>
            <c:idx val="4"/>
            <c:invertIfNegative val="0"/>
            <c:bubble3D val="0"/>
            <c:spPr>
              <a:solidFill>
                <a:srgbClr val="F8BE03"/>
              </a:solidFill>
              <a:ln>
                <a:noFill/>
              </a:ln>
              <a:effectLst/>
            </c:spPr>
            <c:extLst>
              <c:ext xmlns:c16="http://schemas.microsoft.com/office/drawing/2014/chart" uri="{C3380CC4-5D6E-409C-BE32-E72D297353CC}">
                <c16:uniqueId val="{0000000C-1953-4C11-9CAD-92BEBF8E52BD}"/>
              </c:ext>
            </c:extLst>
          </c:dPt>
          <c:dPt>
            <c:idx val="5"/>
            <c:invertIfNegative val="0"/>
            <c:bubble3D val="0"/>
            <c:spPr>
              <a:solidFill>
                <a:srgbClr val="F8BE03"/>
              </a:solidFill>
              <a:ln>
                <a:noFill/>
              </a:ln>
              <a:effectLst/>
            </c:spPr>
            <c:extLst>
              <c:ext xmlns:c16="http://schemas.microsoft.com/office/drawing/2014/chart" uri="{C3380CC4-5D6E-409C-BE32-E72D297353CC}">
                <c16:uniqueId val="{0000000B-1953-4C11-9CAD-92BEBF8E52BD}"/>
              </c:ext>
            </c:extLst>
          </c:dPt>
          <c:dPt>
            <c:idx val="6"/>
            <c:invertIfNegative val="0"/>
            <c:bubble3D val="0"/>
            <c:spPr>
              <a:solidFill>
                <a:srgbClr val="E4BA0D"/>
              </a:solidFill>
              <a:ln>
                <a:noFill/>
              </a:ln>
              <a:effectLst/>
            </c:spPr>
            <c:extLst>
              <c:ext xmlns:c16="http://schemas.microsoft.com/office/drawing/2014/chart" uri="{C3380CC4-5D6E-409C-BE32-E72D297353CC}">
                <c16:uniqueId val="{00000008-1953-4C11-9CAD-92BEBF8E52BD}"/>
              </c:ext>
            </c:extLst>
          </c:dPt>
          <c:dPt>
            <c:idx val="8"/>
            <c:invertIfNegative val="0"/>
            <c:bubble3D val="0"/>
            <c:spPr>
              <a:solidFill>
                <a:srgbClr val="F8BE03"/>
              </a:solidFill>
              <a:ln>
                <a:noFill/>
              </a:ln>
              <a:effectLst/>
            </c:spPr>
            <c:extLst>
              <c:ext xmlns:c16="http://schemas.microsoft.com/office/drawing/2014/chart" uri="{C3380CC4-5D6E-409C-BE32-E72D297353CC}">
                <c16:uniqueId val="{00000009-1953-4C11-9CAD-92BEBF8E52BD}"/>
              </c:ext>
            </c:extLst>
          </c:dPt>
          <c:dPt>
            <c:idx val="9"/>
            <c:invertIfNegative val="0"/>
            <c:bubble3D val="0"/>
            <c:spPr>
              <a:solidFill>
                <a:srgbClr val="BDB721"/>
              </a:solidFill>
              <a:ln>
                <a:noFill/>
              </a:ln>
              <a:effectLst/>
            </c:spPr>
            <c:extLst>
              <c:ext xmlns:c16="http://schemas.microsoft.com/office/drawing/2014/chart" uri="{C3380CC4-5D6E-409C-BE32-E72D297353CC}">
                <c16:uniqueId val="{00000003-1DDC-4920-9244-0CA947482A86}"/>
              </c:ext>
            </c:extLst>
          </c:dPt>
          <c:dPt>
            <c:idx val="10"/>
            <c:invertIfNegative val="0"/>
            <c:bubble3D val="0"/>
            <c:spPr>
              <a:solidFill>
                <a:srgbClr val="F8AB00"/>
              </a:solidFill>
              <a:ln>
                <a:noFill/>
              </a:ln>
              <a:effectLst/>
            </c:spPr>
            <c:extLst>
              <c:ext xmlns:c16="http://schemas.microsoft.com/office/drawing/2014/chart" uri="{C3380CC4-5D6E-409C-BE32-E72D297353CC}">
                <c16:uniqueId val="{00000001-4739-4357-A287-53A81D52198B}"/>
              </c:ext>
            </c:extLst>
          </c:dPt>
          <c:dPt>
            <c:idx val="11"/>
            <c:invertIfNegative val="0"/>
            <c:bubble3D val="0"/>
            <c:spPr>
              <a:solidFill>
                <a:srgbClr val="E87900"/>
              </a:solidFill>
              <a:ln>
                <a:noFill/>
              </a:ln>
              <a:effectLst/>
            </c:spPr>
            <c:extLst>
              <c:ext xmlns:c16="http://schemas.microsoft.com/office/drawing/2014/chart" uri="{C3380CC4-5D6E-409C-BE32-E72D297353CC}">
                <c16:uniqueId val="{00000007-1953-4C11-9CAD-92BEBF8E52BD}"/>
              </c:ext>
            </c:extLst>
          </c:dPt>
          <c:cat>
            <c:strRef>
              <c:f>Risque!$B$2:$B$13</c:f>
              <c:strCache>
                <c:ptCount val="12"/>
                <c:pt idx="0">
                  <c:v>Compétence de l’équipe IA</c:v>
                </c:pt>
                <c:pt idx="1">
                  <c:v>Charge multi-projets</c:v>
                </c:pt>
                <c:pt idx="2">
                  <c:v>Qualité des données d’entraînement</c:v>
                </c:pt>
                <c:pt idx="3">
                  <c:v>Données sensibles</c:v>
                </c:pt>
                <c:pt idx="4">
                  <c:v>Conformité réglementaire</c:v>
                </c:pt>
                <c:pt idx="5">
                  <c:v>Expérience utilisateur</c:v>
                </c:pt>
                <c:pt idx="6">
                  <c:v>Panne infrastructures</c:v>
                </c:pt>
                <c:pt idx="7">
                  <c:v>Sécurité des paiements</c:v>
                </c:pt>
                <c:pt idx="8">
                  <c:v>Qualité des images en entrée</c:v>
                </c:pt>
                <c:pt idx="9">
                  <c:v>Éthique / transparence IA</c:v>
                </c:pt>
                <c:pt idx="10">
                  <c:v>Coûts sous estimés</c:v>
                </c:pt>
                <c:pt idx="11">
                  <c:v>Concurrence</c:v>
                </c:pt>
              </c:strCache>
            </c:strRef>
          </c:cat>
          <c:val>
            <c:numRef>
              <c:f>Risque!$I$2:$I$13</c:f>
              <c:numCache>
                <c:formatCode>General</c:formatCode>
                <c:ptCount val="12"/>
                <c:pt idx="0">
                  <c:v>12</c:v>
                </c:pt>
                <c:pt idx="1">
                  <c:v>4</c:v>
                </c:pt>
                <c:pt idx="2">
                  <c:v>8</c:v>
                </c:pt>
                <c:pt idx="3">
                  <c:v>15</c:v>
                </c:pt>
                <c:pt idx="4">
                  <c:v>8</c:v>
                </c:pt>
                <c:pt idx="5">
                  <c:v>8</c:v>
                </c:pt>
                <c:pt idx="6">
                  <c:v>6</c:v>
                </c:pt>
                <c:pt idx="7">
                  <c:v>10</c:v>
                </c:pt>
                <c:pt idx="8">
                  <c:v>8</c:v>
                </c:pt>
                <c:pt idx="9">
                  <c:v>4</c:v>
                </c:pt>
                <c:pt idx="10">
                  <c:v>6</c:v>
                </c:pt>
                <c:pt idx="11">
                  <c:v>12</c:v>
                </c:pt>
              </c:numCache>
            </c:numRef>
          </c:val>
          <c:extLst>
            <c:ext xmlns:c16="http://schemas.microsoft.com/office/drawing/2014/chart" uri="{C3380CC4-5D6E-409C-BE32-E72D297353CC}">
              <c16:uniqueId val="{00000002-E238-443C-9FAF-A8C5E33CA172}"/>
            </c:ext>
          </c:extLst>
        </c:ser>
        <c:dLbls>
          <c:showLegendKey val="0"/>
          <c:showVal val="0"/>
          <c:showCatName val="0"/>
          <c:showSerName val="0"/>
          <c:showPercent val="0"/>
          <c:showBubbleSize val="0"/>
        </c:dLbls>
        <c:gapWidth val="51"/>
        <c:axId val="470011152"/>
        <c:axId val="470013552"/>
      </c:barChart>
      <c:catAx>
        <c:axId val="47001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470013552"/>
        <c:crosses val="autoZero"/>
        <c:auto val="1"/>
        <c:lblAlgn val="ctr"/>
        <c:lblOffset val="100"/>
        <c:noMultiLvlLbl val="0"/>
      </c:catAx>
      <c:valAx>
        <c:axId val="47001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fr-FR"/>
          </a:p>
        </c:txPr>
        <c:crossAx val="47001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236883187658601E-2"/>
          <c:y val="9.3632628396537673E-2"/>
          <c:w val="0.89596938349005339"/>
          <c:h val="0.67005526222044831"/>
        </c:manualLayout>
      </c:layout>
      <c:barChart>
        <c:barDir val="col"/>
        <c:grouping val="clustered"/>
        <c:varyColors val="0"/>
        <c:ser>
          <c:idx val="0"/>
          <c:order val="0"/>
          <c:spPr>
            <a:solidFill>
              <a:schemeClr val="accent1">
                <a:alpha val="70000"/>
              </a:schemeClr>
            </a:solidFill>
            <a:ln>
              <a:noFill/>
            </a:ln>
            <a:effectLst/>
          </c:spPr>
          <c:invertIfNegative val="0"/>
          <c:dPt>
            <c:idx val="0"/>
            <c:invertIfNegative val="0"/>
            <c:bubble3D val="0"/>
            <c:spPr>
              <a:solidFill>
                <a:srgbClr val="0070C0">
                  <a:alpha val="70000"/>
                </a:srgbClr>
              </a:solidFill>
              <a:ln>
                <a:noFill/>
              </a:ln>
              <a:effectLst/>
            </c:spPr>
            <c:extLst>
              <c:ext xmlns:c16="http://schemas.microsoft.com/office/drawing/2014/chart" uri="{C3380CC4-5D6E-409C-BE32-E72D297353CC}">
                <c16:uniqueId val="{00000005-92A5-4200-B576-06AC6C345F40}"/>
              </c:ext>
            </c:extLst>
          </c:dPt>
          <c:dPt>
            <c:idx val="1"/>
            <c:invertIfNegative val="0"/>
            <c:bubble3D val="0"/>
            <c:spPr>
              <a:solidFill>
                <a:srgbClr val="0070C0">
                  <a:alpha val="70000"/>
                </a:srgbClr>
              </a:solidFill>
              <a:ln>
                <a:noFill/>
              </a:ln>
              <a:effectLst/>
            </c:spPr>
            <c:extLst>
              <c:ext xmlns:c16="http://schemas.microsoft.com/office/drawing/2014/chart" uri="{C3380CC4-5D6E-409C-BE32-E72D297353CC}">
                <c16:uniqueId val="{00000004-92A5-4200-B576-06AC6C345F40}"/>
              </c:ext>
            </c:extLst>
          </c:dPt>
          <c:dPt>
            <c:idx val="2"/>
            <c:invertIfNegative val="0"/>
            <c:bubble3D val="0"/>
            <c:spPr>
              <a:solidFill>
                <a:srgbClr val="0070C0">
                  <a:alpha val="70000"/>
                </a:srgbClr>
              </a:solidFill>
              <a:ln>
                <a:noFill/>
              </a:ln>
              <a:effectLst/>
            </c:spPr>
            <c:extLst>
              <c:ext xmlns:c16="http://schemas.microsoft.com/office/drawing/2014/chart" uri="{C3380CC4-5D6E-409C-BE32-E72D297353CC}">
                <c16:uniqueId val="{00000003-92A5-4200-B576-06AC6C345F40}"/>
              </c:ext>
            </c:extLst>
          </c:dPt>
          <c:dPt>
            <c:idx val="3"/>
            <c:invertIfNegative val="0"/>
            <c:bubble3D val="0"/>
            <c:spPr>
              <a:solidFill>
                <a:srgbClr val="0070C0">
                  <a:alpha val="70000"/>
                </a:srgbClr>
              </a:solidFill>
              <a:ln>
                <a:noFill/>
              </a:ln>
              <a:effectLst/>
            </c:spPr>
            <c:extLst>
              <c:ext xmlns:c16="http://schemas.microsoft.com/office/drawing/2014/chart" uri="{C3380CC4-5D6E-409C-BE32-E72D297353CC}">
                <c16:uniqueId val="{00000002-92A5-4200-B576-06AC6C345F40}"/>
              </c:ext>
            </c:extLst>
          </c:dPt>
          <c:dPt>
            <c:idx val="4"/>
            <c:invertIfNegative val="0"/>
            <c:bubble3D val="0"/>
            <c:spPr>
              <a:solidFill>
                <a:srgbClr val="0070C0">
                  <a:alpha val="70000"/>
                </a:srgbClr>
              </a:solidFill>
              <a:ln>
                <a:noFill/>
              </a:ln>
              <a:effectLst/>
            </c:spPr>
            <c:extLst>
              <c:ext xmlns:c16="http://schemas.microsoft.com/office/drawing/2014/chart" uri="{C3380CC4-5D6E-409C-BE32-E72D297353CC}">
                <c16:uniqueId val="{00000001-92A5-4200-B576-06AC6C345F40}"/>
              </c:ext>
            </c:extLst>
          </c:dPt>
          <c:dPt>
            <c:idx val="5"/>
            <c:invertIfNegative val="0"/>
            <c:bubble3D val="0"/>
            <c:spPr>
              <a:solidFill>
                <a:srgbClr val="0070C0">
                  <a:alpha val="70000"/>
                </a:srgbClr>
              </a:solidFill>
              <a:ln>
                <a:noFill/>
              </a:ln>
              <a:effectLst/>
            </c:spPr>
            <c:extLst>
              <c:ext xmlns:c16="http://schemas.microsoft.com/office/drawing/2014/chart" uri="{C3380CC4-5D6E-409C-BE32-E72D297353CC}">
                <c16:uniqueId val="{00000006-92A5-4200-B576-06AC6C345F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Risque!$N$2:$N$7</c:f>
              <c:strCache>
                <c:ptCount val="5"/>
                <c:pt idx="0">
                  <c:v>Délai</c:v>
                </c:pt>
                <c:pt idx="1">
                  <c:v>Qualité</c:v>
                </c:pt>
                <c:pt idx="2">
                  <c:v>Satisfaction</c:v>
                </c:pt>
                <c:pt idx="3">
                  <c:v>Réputation</c:v>
                </c:pt>
                <c:pt idx="4">
                  <c:v>Cout</c:v>
                </c:pt>
              </c:strCache>
            </c:strRef>
          </c:cat>
          <c:val>
            <c:numRef>
              <c:f>Risque!$O$2:$O$7</c:f>
              <c:numCache>
                <c:formatCode>General</c:formatCode>
                <c:ptCount val="6"/>
                <c:pt idx="0">
                  <c:v>2</c:v>
                </c:pt>
                <c:pt idx="1">
                  <c:v>6</c:v>
                </c:pt>
                <c:pt idx="2">
                  <c:v>6</c:v>
                </c:pt>
                <c:pt idx="3">
                  <c:v>5</c:v>
                </c:pt>
                <c:pt idx="4">
                  <c:v>6</c:v>
                </c:pt>
              </c:numCache>
            </c:numRef>
          </c:val>
          <c:extLst>
            <c:ext xmlns:c16="http://schemas.microsoft.com/office/drawing/2014/chart" uri="{C3380CC4-5D6E-409C-BE32-E72D297353CC}">
              <c16:uniqueId val="{00000000-92A5-4200-B576-06AC6C345F40}"/>
            </c:ext>
          </c:extLst>
        </c:ser>
        <c:dLbls>
          <c:dLblPos val="inEnd"/>
          <c:showLegendKey val="0"/>
          <c:showVal val="1"/>
          <c:showCatName val="0"/>
          <c:showSerName val="0"/>
          <c:showPercent val="0"/>
          <c:showBubbleSize val="0"/>
        </c:dLbls>
        <c:gapWidth val="80"/>
        <c:overlap val="25"/>
        <c:axId val="311032015"/>
        <c:axId val="311048815"/>
      </c:barChart>
      <c:catAx>
        <c:axId val="31103201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5400000" spcFirstLastPara="1" vertOverflow="ellipsis" wrap="square" anchor="ctr" anchorCtr="1"/>
          <a:lstStyle/>
          <a:p>
            <a:pPr>
              <a:defRPr sz="1800" b="0" i="0" u="none" strike="noStrike" kern="1200" cap="none" spc="20" normalizeH="0" baseline="0">
                <a:solidFill>
                  <a:schemeClr val="tx1">
                    <a:lumMod val="65000"/>
                    <a:lumOff val="35000"/>
                  </a:schemeClr>
                </a:solidFill>
                <a:latin typeface="+mn-lt"/>
                <a:ea typeface="+mn-ea"/>
                <a:cs typeface="+mn-cs"/>
              </a:defRPr>
            </a:pPr>
            <a:endParaRPr lang="fr-FR"/>
          </a:p>
        </c:txPr>
        <c:crossAx val="311048815"/>
        <c:crosses val="autoZero"/>
        <c:auto val="1"/>
        <c:lblAlgn val="ctr"/>
        <c:lblOffset val="100"/>
        <c:noMultiLvlLbl val="0"/>
      </c:catAx>
      <c:valAx>
        <c:axId val="31104881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spc="20" baseline="0">
                <a:solidFill>
                  <a:schemeClr val="tx1">
                    <a:lumMod val="65000"/>
                    <a:lumOff val="35000"/>
                  </a:schemeClr>
                </a:solidFill>
                <a:latin typeface="+mn-lt"/>
                <a:ea typeface="+mn-ea"/>
                <a:cs typeface="+mn-cs"/>
              </a:defRPr>
            </a:pPr>
            <a:endParaRPr lang="fr-FR"/>
          </a:p>
        </c:txPr>
        <c:crossAx val="3110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32</xdr:col>
      <xdr:colOff>20782</xdr:colOff>
      <xdr:row>3</xdr:row>
      <xdr:rowOff>85781</xdr:rowOff>
    </xdr:to>
    <xdr:sp macro="" textlink="">
      <xdr:nvSpPr>
        <xdr:cNvPr id="5" name="Rectangle 4">
          <a:extLst>
            <a:ext uri="{FF2B5EF4-FFF2-40B4-BE49-F238E27FC236}">
              <a16:creationId xmlns:a16="http://schemas.microsoft.com/office/drawing/2014/main" id="{DD48BC5E-813C-43CE-8B49-ABD46E076E0A}"/>
            </a:ext>
          </a:extLst>
        </xdr:cNvPr>
        <xdr:cNvSpPr/>
      </xdr:nvSpPr>
      <xdr:spPr>
        <a:xfrm>
          <a:off x="1" y="0"/>
          <a:ext cx="4890654" cy="626108"/>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Description</a:t>
          </a:r>
          <a:r>
            <a:rPr lang="fr-FR" sz="2000" b="1" baseline="0"/>
            <a:t> du produit et de ses gains stratégiques</a:t>
          </a:r>
          <a:endParaRPr lang="fr-FR" sz="2000" b="1"/>
        </a:p>
      </xdr:txBody>
    </xdr:sp>
    <xdr:clientData/>
  </xdr:twoCellAnchor>
  <xdr:twoCellAnchor>
    <xdr:from>
      <xdr:col>32</xdr:col>
      <xdr:colOff>59531</xdr:colOff>
      <xdr:row>0</xdr:row>
      <xdr:rowOff>0</xdr:rowOff>
    </xdr:from>
    <xdr:to>
      <xdr:col>78</xdr:col>
      <xdr:colOff>10299</xdr:colOff>
      <xdr:row>3</xdr:row>
      <xdr:rowOff>116167</xdr:rowOff>
    </xdr:to>
    <xdr:sp macro="" textlink="">
      <xdr:nvSpPr>
        <xdr:cNvPr id="6" name="Rectangle 5">
          <a:extLst>
            <a:ext uri="{FF2B5EF4-FFF2-40B4-BE49-F238E27FC236}">
              <a16:creationId xmlns:a16="http://schemas.microsoft.com/office/drawing/2014/main" id="{46B0B93E-62ED-4C15-85E9-D770FDC06239}"/>
            </a:ext>
          </a:extLst>
        </xdr:cNvPr>
        <xdr:cNvSpPr/>
      </xdr:nvSpPr>
      <xdr:spPr>
        <a:xfrm>
          <a:off x="5682055" y="0"/>
          <a:ext cx="6983856" cy="663623"/>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Gains financiers attendus</a:t>
          </a:r>
        </a:p>
      </xdr:txBody>
    </xdr:sp>
    <xdr:clientData/>
  </xdr:twoCellAnchor>
  <xdr:twoCellAnchor>
    <xdr:from>
      <xdr:col>0</xdr:col>
      <xdr:colOff>1</xdr:colOff>
      <xdr:row>3</xdr:row>
      <xdr:rowOff>98641</xdr:rowOff>
    </xdr:from>
    <xdr:to>
      <xdr:col>32</xdr:col>
      <xdr:colOff>22194</xdr:colOff>
      <xdr:row>20</xdr:row>
      <xdr:rowOff>100263</xdr:rowOff>
    </xdr:to>
    <xdr:sp macro="" textlink="">
      <xdr:nvSpPr>
        <xdr:cNvPr id="10" name="ZoneTexte 9">
          <a:extLst>
            <a:ext uri="{FF2B5EF4-FFF2-40B4-BE49-F238E27FC236}">
              <a16:creationId xmlns:a16="http://schemas.microsoft.com/office/drawing/2014/main" id="{2613D1CE-B111-A531-C0D6-925FEBC02A13}"/>
            </a:ext>
          </a:extLst>
        </xdr:cNvPr>
        <xdr:cNvSpPr txBox="1"/>
      </xdr:nvSpPr>
      <xdr:spPr>
        <a:xfrm>
          <a:off x="1" y="646097"/>
          <a:ext cx="5644717" cy="3103875"/>
        </a:xfrm>
        <a:prstGeom prst="rect">
          <a:avLst/>
        </a:prstGeom>
        <a:solidFill>
          <a:srgbClr val="E7F8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fr-FR" sz="6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800">
              <a:solidFill>
                <a:schemeClr val="dk1"/>
              </a:solidFill>
              <a:effectLst/>
              <a:latin typeface="+mn-lt"/>
              <a:ea typeface="+mn-ea"/>
              <a:cs typeface="+mn-cs"/>
            </a:rPr>
            <a:t>Le</a:t>
          </a:r>
          <a:r>
            <a:rPr lang="fr-FR" sz="1800" baseline="0">
              <a:solidFill>
                <a:schemeClr val="dk1"/>
              </a:solidFill>
              <a:effectLst/>
              <a:latin typeface="+mn-lt"/>
              <a:ea typeface="+mn-ea"/>
              <a:cs typeface="+mn-cs"/>
            </a:rPr>
            <a:t> produit est une application proposant un service de recommandation personnalisée de vêtements basée sur les habitudes et préférénces vestimentaires du client.</a:t>
          </a:r>
        </a:p>
        <a:p>
          <a:pPr marL="0" marR="0" lvl="0" indent="0" defTabSz="914400" eaLnBrk="1" fontAlgn="auto" latinLnBrk="0" hangingPunct="1">
            <a:lnSpc>
              <a:spcPct val="100000"/>
            </a:lnSpc>
            <a:spcBef>
              <a:spcPts val="0"/>
            </a:spcBef>
            <a:spcAft>
              <a:spcPts val="0"/>
            </a:spcAft>
            <a:buClrTx/>
            <a:buSzTx/>
            <a:buFontTx/>
            <a:buNone/>
            <a:tabLst/>
            <a:defRPr/>
          </a:pPr>
          <a:endParaRPr lang="fr-FR" sz="18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800" i="1" u="sng" baseline="0">
              <a:solidFill>
                <a:schemeClr val="dk1"/>
              </a:solidFill>
              <a:effectLst/>
              <a:latin typeface="+mn-lt"/>
              <a:ea typeface="+mn-ea"/>
              <a:cs typeface="+mn-cs"/>
            </a:rPr>
            <a:t>Gains stratégiques attendus</a:t>
          </a: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Attractions de nouveaux clients</a:t>
          </a: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Fidélisation des anciens clients</a:t>
          </a: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Renforcement de l'image moderne de la marque</a:t>
          </a:r>
        </a:p>
        <a:p>
          <a:pPr marL="0" marR="0" lvl="0" indent="0" defTabSz="914400" eaLnBrk="1" fontAlgn="auto" latinLnBrk="0" hangingPunct="1">
            <a:lnSpc>
              <a:spcPct val="100000"/>
            </a:lnSpc>
            <a:spcBef>
              <a:spcPts val="0"/>
            </a:spcBef>
            <a:spcAft>
              <a:spcPts val="0"/>
            </a:spcAft>
            <a:buClrTx/>
            <a:buSzTx/>
            <a:buFontTx/>
            <a:buNone/>
            <a:tabLst/>
            <a:defRPr/>
          </a:pPr>
          <a:r>
            <a:rPr lang="fr-FR" sz="1800">
              <a:effectLst/>
            </a:rPr>
            <a:t>- Augmentation du chiffre</a:t>
          </a:r>
          <a:r>
            <a:rPr lang="fr-FR" sz="1800" baseline="0">
              <a:effectLst/>
            </a:rPr>
            <a:t> d'affaire de la marque</a:t>
          </a:r>
          <a:endParaRPr lang="fr-FR" sz="1800">
            <a:effectLst/>
          </a:endParaRPr>
        </a:p>
        <a:p>
          <a:endParaRPr lang="fr-FR" sz="1100"/>
        </a:p>
      </xdr:txBody>
    </xdr:sp>
    <xdr:clientData/>
  </xdr:twoCellAnchor>
  <xdr:twoCellAnchor>
    <xdr:from>
      <xdr:col>32</xdr:col>
      <xdr:colOff>51787</xdr:colOff>
      <xdr:row>3</xdr:row>
      <xdr:rowOff>101107</xdr:rowOff>
    </xdr:from>
    <xdr:to>
      <xdr:col>78</xdr:col>
      <xdr:colOff>13854</xdr:colOff>
      <xdr:row>20</xdr:row>
      <xdr:rowOff>144127</xdr:rowOff>
    </xdr:to>
    <xdr:sp macro="" textlink="">
      <xdr:nvSpPr>
        <xdr:cNvPr id="11" name="ZoneTexte 10">
          <a:extLst>
            <a:ext uri="{FF2B5EF4-FFF2-40B4-BE49-F238E27FC236}">
              <a16:creationId xmlns:a16="http://schemas.microsoft.com/office/drawing/2014/main" id="{BF6497BE-4438-4FE1-AD08-CB8ADE804AD8}"/>
            </a:ext>
          </a:extLst>
        </xdr:cNvPr>
        <xdr:cNvSpPr txBox="1"/>
      </xdr:nvSpPr>
      <xdr:spPr>
        <a:xfrm>
          <a:off x="5674311" y="648563"/>
          <a:ext cx="6995155" cy="314527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fr-FR" sz="7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Temps de développement estimé : </a:t>
          </a:r>
          <a:r>
            <a:rPr lang="fr-FR" sz="1800" b="1" baseline="0">
              <a:solidFill>
                <a:srgbClr val="001B58"/>
              </a:solidFill>
              <a:effectLst/>
              <a:latin typeface="+mn-lt"/>
              <a:ea typeface="+mn-ea"/>
              <a:cs typeface="+mn-cs"/>
            </a:rPr>
            <a:t>5 mois</a:t>
          </a:r>
        </a:p>
        <a:p>
          <a:pPr marL="0" marR="0" lvl="0" indent="0" defTabSz="914400" eaLnBrk="1" fontAlgn="auto" latinLnBrk="0" hangingPunct="1">
            <a:lnSpc>
              <a:spcPct val="100000"/>
            </a:lnSpc>
            <a:spcBef>
              <a:spcPts val="0"/>
            </a:spcBef>
            <a:spcAft>
              <a:spcPts val="0"/>
            </a:spcAft>
            <a:buClrTx/>
            <a:buSzTx/>
            <a:buFontTx/>
            <a:buNone/>
            <a:tabLst/>
            <a:defRPr/>
          </a:pPr>
          <a:endParaRPr lang="fr-FR" sz="9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Coûts d'investissement: </a:t>
          </a:r>
          <a:r>
            <a:rPr lang="fr-FR" sz="1800" b="1" baseline="0">
              <a:solidFill>
                <a:srgbClr val="001B58"/>
              </a:solidFill>
              <a:effectLst/>
              <a:latin typeface="+mn-lt"/>
              <a:ea typeface="+mn-ea"/>
              <a:cs typeface="+mn-cs"/>
            </a:rPr>
            <a:t>125 000 €</a:t>
          </a:r>
        </a:p>
        <a:p>
          <a:pPr marL="0" marR="0" lvl="0" indent="0" defTabSz="914400" eaLnBrk="1" fontAlgn="auto" latinLnBrk="0" hangingPunct="1">
            <a:lnSpc>
              <a:spcPct val="100000"/>
            </a:lnSpc>
            <a:spcBef>
              <a:spcPts val="0"/>
            </a:spcBef>
            <a:spcAft>
              <a:spcPts val="0"/>
            </a:spcAft>
            <a:buClrTx/>
            <a:buSzTx/>
            <a:buFontTx/>
            <a:buNone/>
            <a:tabLst/>
            <a:defRPr/>
          </a:pPr>
          <a:endParaRPr lang="fr-FR" sz="9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Rentabilité estimée au bout de </a:t>
          </a:r>
          <a:r>
            <a:rPr lang="fr-FR" sz="1800" b="1" baseline="0">
              <a:solidFill>
                <a:srgbClr val="001B58"/>
              </a:solidFill>
              <a:effectLst/>
              <a:latin typeface="+mn-lt"/>
              <a:ea typeface="+mn-ea"/>
              <a:cs typeface="+mn-cs"/>
            </a:rPr>
            <a:t>9 mois</a:t>
          </a:r>
        </a:p>
        <a:p>
          <a:pPr marL="0" marR="0" lvl="0" indent="0" defTabSz="914400" eaLnBrk="1" fontAlgn="auto" latinLnBrk="0" hangingPunct="1">
            <a:lnSpc>
              <a:spcPct val="100000"/>
            </a:lnSpc>
            <a:spcBef>
              <a:spcPts val="0"/>
            </a:spcBef>
            <a:spcAft>
              <a:spcPts val="0"/>
            </a:spcAft>
            <a:buClrTx/>
            <a:buSzTx/>
            <a:buFontTx/>
            <a:buNone/>
            <a:tabLst/>
            <a:defRPr/>
          </a:pPr>
          <a:endParaRPr lang="fr-FR" sz="9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800" baseline="0">
              <a:solidFill>
                <a:schemeClr val="dk1"/>
              </a:solidFill>
              <a:effectLst/>
              <a:latin typeface="+mn-lt"/>
              <a:ea typeface="+mn-ea"/>
              <a:cs typeface="+mn-cs"/>
            </a:rPr>
            <a:t>- A 3 ans bénéfices cummulés estimés à environs </a:t>
          </a:r>
          <a:r>
            <a:rPr lang="fr-FR" sz="1800" b="1" baseline="0">
              <a:solidFill>
                <a:srgbClr val="001B58"/>
              </a:solidFill>
              <a:effectLst/>
              <a:latin typeface="+mn-lt"/>
              <a:ea typeface="+mn-ea"/>
              <a:cs typeface="+mn-cs"/>
            </a:rPr>
            <a:t>2 millions €</a:t>
          </a:r>
          <a:endParaRPr lang="fr-FR" sz="1800" b="1">
            <a:solidFill>
              <a:srgbClr val="001B58"/>
            </a:solidFill>
            <a:effectLst/>
          </a:endParaRPr>
        </a:p>
        <a:p>
          <a:endParaRPr lang="fr-FR" sz="1400"/>
        </a:p>
        <a:p>
          <a:r>
            <a:rPr lang="fr-FR" sz="1800" i="1"/>
            <a:t>Plus de détails (hypothèses et calculs) dans l'onglet Budget et bénéfices.</a:t>
          </a:r>
        </a:p>
      </xdr:txBody>
    </xdr:sp>
    <xdr:clientData/>
  </xdr:twoCellAnchor>
  <xdr:twoCellAnchor>
    <xdr:from>
      <xdr:col>78</xdr:col>
      <xdr:colOff>61783</xdr:colOff>
      <xdr:row>3</xdr:row>
      <xdr:rowOff>10582</xdr:rowOff>
    </xdr:from>
    <xdr:to>
      <xdr:col>120</xdr:col>
      <xdr:colOff>143481</xdr:colOff>
      <xdr:row>20</xdr:row>
      <xdr:rowOff>116416</xdr:rowOff>
    </xdr:to>
    <xdr:graphicFrame macro="">
      <xdr:nvGraphicFramePr>
        <xdr:cNvPr id="13" name="Graphique 12">
          <a:extLst>
            <a:ext uri="{FF2B5EF4-FFF2-40B4-BE49-F238E27FC236}">
              <a16:creationId xmlns:a16="http://schemas.microsoft.com/office/drawing/2014/main" id="{25C89C9E-F892-4CA4-898E-49FD92367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78</xdr:col>
      <xdr:colOff>51486</xdr:colOff>
      <xdr:row>0</xdr:row>
      <xdr:rowOff>4233</xdr:rowOff>
    </xdr:from>
    <xdr:to>
      <xdr:col>120</xdr:col>
      <xdr:colOff>145419</xdr:colOff>
      <xdr:row>3</xdr:row>
      <xdr:rowOff>80448</xdr:rowOff>
    </xdr:to>
    <xdr:sp macro="" textlink="">
      <xdr:nvSpPr>
        <xdr:cNvPr id="14" name="Rectangle 13">
          <a:extLst>
            <a:ext uri="{FF2B5EF4-FFF2-40B4-BE49-F238E27FC236}">
              <a16:creationId xmlns:a16="http://schemas.microsoft.com/office/drawing/2014/main" id="{424C94CE-45D7-4D6A-99CF-10F2334BFF57}"/>
            </a:ext>
          </a:extLst>
        </xdr:cNvPr>
        <xdr:cNvSpPr/>
      </xdr:nvSpPr>
      <xdr:spPr>
        <a:xfrm>
          <a:off x="12730158" y="4233"/>
          <a:ext cx="6527307" cy="622994"/>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Distribution des risques selon leur type d'impact</a:t>
          </a:r>
        </a:p>
      </xdr:txBody>
    </xdr:sp>
    <xdr:clientData/>
  </xdr:twoCellAnchor>
  <xdr:twoCellAnchor>
    <xdr:from>
      <xdr:col>0</xdr:col>
      <xdr:colOff>0</xdr:colOff>
      <xdr:row>20</xdr:row>
      <xdr:rowOff>113178</xdr:rowOff>
    </xdr:from>
    <xdr:to>
      <xdr:col>120</xdr:col>
      <xdr:colOff>143481</xdr:colOff>
      <xdr:row>24</xdr:row>
      <xdr:rowOff>11416</xdr:rowOff>
    </xdr:to>
    <xdr:sp macro="" textlink="">
      <xdr:nvSpPr>
        <xdr:cNvPr id="9" name="Rectangle 8">
          <a:extLst>
            <a:ext uri="{FF2B5EF4-FFF2-40B4-BE49-F238E27FC236}">
              <a16:creationId xmlns:a16="http://schemas.microsoft.com/office/drawing/2014/main" id="{55E27C8F-94B2-457F-A63A-D3B03CA942D6}"/>
            </a:ext>
          </a:extLst>
        </xdr:cNvPr>
        <xdr:cNvSpPr/>
      </xdr:nvSpPr>
      <xdr:spPr>
        <a:xfrm>
          <a:off x="0" y="3758369"/>
          <a:ext cx="19255527" cy="627276"/>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Planning</a:t>
          </a:r>
          <a:r>
            <a:rPr lang="fr-FR" sz="2000" b="1" baseline="0"/>
            <a:t> des sprints</a:t>
          </a:r>
          <a:endParaRPr lang="fr-FR"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777551</xdr:colOff>
      <xdr:row>3</xdr:row>
      <xdr:rowOff>40378</xdr:rowOff>
    </xdr:to>
    <xdr:sp macro="" textlink="">
      <xdr:nvSpPr>
        <xdr:cNvPr id="2" name="Rectangle 1">
          <a:extLst>
            <a:ext uri="{FF2B5EF4-FFF2-40B4-BE49-F238E27FC236}">
              <a16:creationId xmlns:a16="http://schemas.microsoft.com/office/drawing/2014/main" id="{F9DC8024-E61D-477A-ADEF-CACCA40F0AA3}"/>
            </a:ext>
          </a:extLst>
        </xdr:cNvPr>
        <xdr:cNvSpPr/>
      </xdr:nvSpPr>
      <xdr:spPr>
        <a:xfrm>
          <a:off x="0" y="0"/>
          <a:ext cx="16670694" cy="646868"/>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Le backlog</a:t>
          </a:r>
          <a:r>
            <a:rPr lang="fr-FR" sz="2000" b="1" baseline="0"/>
            <a:t> de l'application</a:t>
          </a:r>
          <a:endParaRPr lang="fr-FR" sz="2000" b="1"/>
        </a:p>
      </xdr:txBody>
    </xdr:sp>
    <xdr:clientData/>
  </xdr:twoCellAnchor>
  <xdr:twoCellAnchor>
    <xdr:from>
      <xdr:col>0</xdr:col>
      <xdr:colOff>0</xdr:colOff>
      <xdr:row>3</xdr:row>
      <xdr:rowOff>62204</xdr:rowOff>
    </xdr:from>
    <xdr:to>
      <xdr:col>5</xdr:col>
      <xdr:colOff>0</xdr:colOff>
      <xdr:row>20</xdr:row>
      <xdr:rowOff>31102</xdr:rowOff>
    </xdr:to>
    <xdr:sp macro="" textlink="">
      <xdr:nvSpPr>
        <xdr:cNvPr id="3" name="ZoneTexte 2">
          <a:extLst>
            <a:ext uri="{FF2B5EF4-FFF2-40B4-BE49-F238E27FC236}">
              <a16:creationId xmlns:a16="http://schemas.microsoft.com/office/drawing/2014/main" id="{F9CB7D46-2D96-3C66-6A9B-3EF02DF00F9B}"/>
            </a:ext>
          </a:extLst>
        </xdr:cNvPr>
        <xdr:cNvSpPr txBox="1"/>
      </xdr:nvSpPr>
      <xdr:spPr>
        <a:xfrm>
          <a:off x="0" y="671804"/>
          <a:ext cx="16687800" cy="408369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0"/>
            <a:t>Ce backlog référence l’ensemble des fonctionnalités à intégrer dans l’application. Il a été élaboré à partir des besoins utilisateurs préalablement collectés et analysés. Chaque besoin a été reformulé sous forme de user story, selon le format :</a:t>
          </a:r>
          <a:r>
            <a:rPr lang="fr-FR" sz="1500" b="0" baseline="0"/>
            <a:t> </a:t>
          </a:r>
          <a:r>
            <a:rPr lang="fr-FR" sz="1500" b="0" i="1"/>
            <a:t>En tant que [type d’utilisateur], je veux [objectif ou action], afin de [bénéfice ou valeur ajoutée]</a:t>
          </a:r>
          <a:r>
            <a:rPr lang="fr-FR" sz="1500" b="0"/>
            <a:t>.</a:t>
          </a:r>
        </a:p>
        <a:p>
          <a:endParaRPr lang="fr-FR" sz="1500" b="0"/>
        </a:p>
        <a:p>
          <a:r>
            <a:rPr lang="fr-FR" sz="1500" b="0"/>
            <a:t>Pour chacune de ces user stories, des critères d’acceptation ont été définis afin de préciser les conditions nécessaires à leur validation.</a:t>
          </a:r>
        </a:p>
        <a:p>
          <a:endParaRPr lang="fr-FR" sz="1500" b="0"/>
        </a:p>
        <a:p>
          <a:r>
            <a:rPr lang="fr-FR" sz="1500" b="0"/>
            <a:t>Les éléments du backlog ont ensuite été priorisés selon la méthode MoSCoW :</a:t>
          </a:r>
        </a:p>
        <a:p>
          <a:r>
            <a:rPr lang="fr-FR" sz="1500" b="0"/>
            <a:t>- Must have : éléments indispensables au bon fonctionnement du produit,</a:t>
          </a:r>
        </a:p>
        <a:p>
          <a:r>
            <a:rPr lang="fr-FR" sz="1500" b="0"/>
            <a:t>- Should have : éléments importants mais non essentiels au lancement,</a:t>
          </a:r>
        </a:p>
        <a:p>
          <a:r>
            <a:rPr lang="fr-FR" sz="1500" b="0"/>
            <a:t>- Could have : améliorations souhaitables si le temps le permet,</a:t>
          </a:r>
        </a:p>
        <a:p>
          <a:r>
            <a:rPr lang="fr-FR" sz="1500" b="0"/>
            <a:t>- Won’t have (for now) : éléments exclus du périmètre actuel mais potentiellement envisagés plus tard.</a:t>
          </a:r>
        </a:p>
        <a:p>
          <a:endParaRPr lang="fr-FR" sz="1500" b="0"/>
        </a:p>
        <a:p>
          <a:r>
            <a:rPr lang="fr-FR" sz="1500" b="0"/>
            <a:t>Enfin, chaque user story a été estimée en Story Points, une unité relative permettant d’évaluer la complexité, ou l’effort nécessaire à sa réalisation. Cette estimation facilite la planification des itérations (ou sprints) et contribue à une meilleure gestion de la charge de travail de l’équipe. </a:t>
          </a:r>
          <a:r>
            <a:rPr lang="fr-FR" sz="1600" b="0"/>
            <a:t>Elle se fait en collaboration avec l’ensemble des membres de l’équipe, selon le principe du Planning Poker : chaque participant attribue un nombre de points (1 ,2, 3, 5, 8, 13, 21) correspondant à sa perception de l’effort requis, puis un consensus collectif est trouvé à l’issue de la discussion.</a:t>
          </a:r>
        </a:p>
        <a:p>
          <a:endParaRPr lang="fr-FR" sz="1500" b="0"/>
        </a:p>
        <a:p>
          <a:r>
            <a:rPr lang="fr-FR" sz="1600"/>
            <a:t>Ne</a:t>
          </a:r>
          <a:r>
            <a:rPr lang="fr-FR" sz="1600" baseline="0"/>
            <a:t> pas oublier que le</a:t>
          </a:r>
          <a:r>
            <a:rPr lang="fr-FR" sz="1600"/>
            <a:t> backlog est </a:t>
          </a:r>
          <a:r>
            <a:rPr lang="fr-FR" sz="1600" b="0"/>
            <a:t>évolutif</a:t>
          </a:r>
          <a:r>
            <a:rPr lang="fr-FR" sz="1600"/>
            <a:t> : il s’enrichit, se réorganise et s’affine tout au long du projet, au fur et à mesure des retours et des apprentissages de l’équipe.</a:t>
          </a:r>
          <a:endParaRPr lang="fr-FR" sz="15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40</xdr:row>
      <xdr:rowOff>259080</xdr:rowOff>
    </xdr:from>
    <xdr:to>
      <xdr:col>7</xdr:col>
      <xdr:colOff>15240</xdr:colOff>
      <xdr:row>45</xdr:row>
      <xdr:rowOff>18752</xdr:rowOff>
    </xdr:to>
    <xdr:sp macro="" textlink="">
      <xdr:nvSpPr>
        <xdr:cNvPr id="3" name="Rectangle 2">
          <a:extLst>
            <a:ext uri="{FF2B5EF4-FFF2-40B4-BE49-F238E27FC236}">
              <a16:creationId xmlns:a16="http://schemas.microsoft.com/office/drawing/2014/main" id="{3B9A0BF2-A7D7-4ADF-A026-EE774D1FBA7D}"/>
            </a:ext>
          </a:extLst>
        </xdr:cNvPr>
        <xdr:cNvSpPr/>
      </xdr:nvSpPr>
      <xdr:spPr>
        <a:xfrm>
          <a:off x="0" y="11902440"/>
          <a:ext cx="18379440" cy="765512"/>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Diagramme</a:t>
          </a:r>
          <a:r>
            <a:rPr lang="fr-FR" sz="2000" b="1" baseline="0"/>
            <a:t> de Gantt</a:t>
          </a:r>
          <a:endParaRPr lang="fr-FR" sz="2000" b="1"/>
        </a:p>
      </xdr:txBody>
    </xdr:sp>
    <xdr:clientData/>
  </xdr:twoCellAnchor>
  <xdr:twoCellAnchor>
    <xdr:from>
      <xdr:col>0</xdr:col>
      <xdr:colOff>0</xdr:colOff>
      <xdr:row>2</xdr:row>
      <xdr:rowOff>56444</xdr:rowOff>
    </xdr:from>
    <xdr:to>
      <xdr:col>7</xdr:col>
      <xdr:colOff>29308</xdr:colOff>
      <xdr:row>11</xdr:row>
      <xdr:rowOff>304800</xdr:rowOff>
    </xdr:to>
    <xdr:sp macro="" textlink="">
      <xdr:nvSpPr>
        <xdr:cNvPr id="4" name="ZoneTexte 3">
          <a:extLst>
            <a:ext uri="{FF2B5EF4-FFF2-40B4-BE49-F238E27FC236}">
              <a16:creationId xmlns:a16="http://schemas.microsoft.com/office/drawing/2014/main" id="{5FB1F283-5FCF-EEDE-B720-5489E3312E32}"/>
            </a:ext>
          </a:extLst>
        </xdr:cNvPr>
        <xdr:cNvSpPr txBox="1"/>
      </xdr:nvSpPr>
      <xdr:spPr>
        <a:xfrm>
          <a:off x="0" y="683973"/>
          <a:ext cx="18380061" cy="3072239"/>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0"/>
            <a:t>La planification du projet a été réalisée selon la méthode Agile Scrum, qui repose sur un développement itératif et incrémental. Cette approche favorise la livraison progressive du</a:t>
          </a:r>
          <a:r>
            <a:rPr lang="fr-FR" sz="1500" b="0" baseline="0"/>
            <a:t> produit</a:t>
          </a:r>
          <a:r>
            <a:rPr lang="fr-FR" sz="1500" b="0"/>
            <a:t>, l’adaptabilité aux retours utilisateurs et la collaboration étroite entre les différents profils impliqués.</a:t>
          </a:r>
        </a:p>
        <a:p>
          <a:endParaRPr lang="fr-FR" sz="1500" b="0"/>
        </a:p>
        <a:p>
          <a:r>
            <a:rPr lang="fr-FR" sz="1500" b="0"/>
            <a:t>Le tableau présente donc la répartition des user stories au sein des différents sprints. Chaque sprint correspond à un cycle de développement durant lequel l’équipe se concentre sur un ensemble limité de fonctionnalités à livrer.</a:t>
          </a:r>
          <a:br>
            <a:rPr lang="fr-FR" sz="1500" b="0"/>
          </a:br>
          <a:endParaRPr lang="fr-FR" sz="1500" b="0"/>
        </a:p>
        <a:p>
          <a:r>
            <a:rPr lang="fr-FR" sz="1500" b="0"/>
            <a:t>La composition et la durée des sprints ont été définies en tenant compte :</a:t>
          </a:r>
        </a:p>
        <a:p>
          <a:r>
            <a:rPr lang="fr-FR" sz="1500" b="0"/>
            <a:t>- des critères de priorité issus du backlog (méthode MoSCoW),</a:t>
          </a:r>
        </a:p>
        <a:p>
          <a:r>
            <a:rPr lang="fr-FR" sz="1500" b="0"/>
            <a:t>-</a:t>
          </a:r>
          <a:r>
            <a:rPr lang="fr-FR" sz="1500" b="0" baseline="0"/>
            <a:t> </a:t>
          </a:r>
          <a:r>
            <a:rPr lang="fr-FR" sz="1500" b="0"/>
            <a:t> des estimations en Story Points, qui traduisent la complexité et l’effort relatif nécessaires à la mise en œuvre de chaque fonctionnalité.</a:t>
          </a:r>
        </a:p>
        <a:p>
          <a:endParaRPr lang="fr-FR" sz="1500" b="0"/>
        </a:p>
        <a:p>
          <a:r>
            <a:rPr lang="fr-FR" sz="1500" b="0"/>
            <a:t>Chaque sprint est ainsi détaillé selon plusieurs axes : les user stories ciblées, les objectifs fonctionnels, les profils impliqués (développeurs mobile, data scientists, UX/UI, QA) et la charge estimée en jours. </a:t>
          </a:r>
        </a:p>
        <a:p>
          <a:endParaRPr lang="fr-FR" sz="1500" b="0"/>
        </a:p>
        <a:p>
          <a:r>
            <a:rPr lang="fr-FR" sz="1500" b="0"/>
            <a:t>Compte</a:t>
          </a:r>
          <a:r>
            <a:rPr lang="fr-FR" sz="1500" b="0" baseline="0"/>
            <a:t> tenu de sa complexité le</a:t>
          </a:r>
          <a:r>
            <a:rPr lang="fr-FR" sz="1500" b="0"/>
            <a:t> projet a été structuré en sept sprints successifs, d’une durée variant entre 2 et 4 semaines.</a:t>
          </a:r>
          <a:r>
            <a:rPr lang="fr-FR" sz="1500" b="0" baseline="0"/>
            <a:t> </a:t>
          </a:r>
          <a:endParaRPr lang="fr-FR" sz="1500" b="0"/>
        </a:p>
      </xdr:txBody>
    </xdr:sp>
    <xdr:clientData/>
  </xdr:twoCellAnchor>
  <xdr:twoCellAnchor>
    <xdr:from>
      <xdr:col>0</xdr:col>
      <xdr:colOff>0</xdr:colOff>
      <xdr:row>71</xdr:row>
      <xdr:rowOff>155658</xdr:rowOff>
    </xdr:from>
    <xdr:to>
      <xdr:col>7</xdr:col>
      <xdr:colOff>15240</xdr:colOff>
      <xdr:row>86</xdr:row>
      <xdr:rowOff>87925</xdr:rowOff>
    </xdr:to>
    <xdr:sp macro="" textlink="">
      <xdr:nvSpPr>
        <xdr:cNvPr id="5" name="ZoneTexte 4">
          <a:extLst>
            <a:ext uri="{FF2B5EF4-FFF2-40B4-BE49-F238E27FC236}">
              <a16:creationId xmlns:a16="http://schemas.microsoft.com/office/drawing/2014/main" id="{5FA63E57-12B7-4069-A329-DEED8739B445}"/>
            </a:ext>
          </a:extLst>
        </xdr:cNvPr>
        <xdr:cNvSpPr txBox="1"/>
      </xdr:nvSpPr>
      <xdr:spPr>
        <a:xfrm>
          <a:off x="0" y="17559738"/>
          <a:ext cx="18379440" cy="267546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500" b="0" baseline="0"/>
        </a:p>
        <a:p>
          <a:r>
            <a:rPr lang="fr-FR" sz="1500" b="0">
              <a:solidFill>
                <a:schemeClr val="dk1"/>
              </a:solidFill>
              <a:effectLst/>
              <a:latin typeface="+mn-lt"/>
              <a:ea typeface="+mn-ea"/>
              <a:cs typeface="+mn-cs"/>
            </a:rPr>
            <a:t>Afin de suivre la progression du projet, un burndown chart sera mis en place. Ce graphique illustre l’évolution quotidienne du travail restant à accomplir dans un sprint, en comparant la charge prévue et la charge réellement effectuée. Il constitue un outil central de pilotage de projet visuel, permettant à l’équipe d’ajuster son rythme de travail et d’anticiper les éventuels retards. </a:t>
          </a:r>
          <a:endParaRPr lang="fr-FR" sz="1500">
            <a:effectLst/>
          </a:endParaRPr>
        </a:p>
        <a:p>
          <a:endParaRPr lang="fr-FR" sz="1500" b="0">
            <a:solidFill>
              <a:schemeClr val="dk1"/>
            </a:solidFill>
            <a:effectLst/>
            <a:latin typeface="+mn-lt"/>
            <a:ea typeface="+mn-ea"/>
            <a:cs typeface="+mn-cs"/>
          </a:endParaRPr>
        </a:p>
        <a:p>
          <a:r>
            <a:rPr lang="fr-FR" sz="1500" b="0">
              <a:solidFill>
                <a:schemeClr val="dk1"/>
              </a:solidFill>
              <a:effectLst/>
              <a:latin typeface="+mn-lt"/>
              <a:ea typeface="+mn-ea"/>
              <a:cs typeface="+mn-cs"/>
            </a:rPr>
            <a:t>Le déroulement des sprints sera accompagné par les cérémonies clés de la méthode Scrum :</a:t>
          </a:r>
          <a:endParaRPr lang="fr-FR" sz="1500">
            <a:effectLst/>
          </a:endParaRPr>
        </a:p>
        <a:p>
          <a:r>
            <a:rPr lang="fr-FR" sz="1500" b="0">
              <a:solidFill>
                <a:schemeClr val="dk1"/>
              </a:solidFill>
              <a:effectLst/>
              <a:latin typeface="+mn-lt"/>
              <a:ea typeface="+mn-ea"/>
              <a:cs typeface="+mn-cs"/>
            </a:rPr>
            <a:t>- Sprint Planning : définition des objectifs et sélection des user stories à réaliser,</a:t>
          </a:r>
          <a:endParaRPr lang="fr-FR" sz="1500">
            <a:effectLst/>
          </a:endParaRPr>
        </a:p>
        <a:p>
          <a:r>
            <a:rPr lang="fr-FR" sz="1500" b="0">
              <a:solidFill>
                <a:schemeClr val="dk1"/>
              </a:solidFill>
              <a:effectLst/>
              <a:latin typeface="+mn-lt"/>
              <a:ea typeface="+mn-ea"/>
              <a:cs typeface="+mn-cs"/>
            </a:rPr>
            <a:t>- Daily Scrum : point quotidien d'environs 15 min pour suivre l’avancement et identifier les obstacles,</a:t>
          </a:r>
          <a:endParaRPr lang="fr-FR" sz="1500">
            <a:effectLst/>
          </a:endParaRPr>
        </a:p>
        <a:p>
          <a:r>
            <a:rPr lang="fr-FR" sz="1500" b="0">
              <a:solidFill>
                <a:schemeClr val="dk1"/>
              </a:solidFill>
              <a:effectLst/>
              <a:latin typeface="+mn-lt"/>
              <a:ea typeface="+mn-ea"/>
              <a:cs typeface="+mn-cs"/>
            </a:rPr>
            <a:t>- Sprint Review : présentation des fonctionnalités livrées et recueil des retours utilisateurs,</a:t>
          </a:r>
          <a:endParaRPr lang="fr-FR" sz="1500">
            <a:effectLst/>
          </a:endParaRPr>
        </a:p>
        <a:p>
          <a:r>
            <a:rPr lang="fr-FR" sz="1500" b="0">
              <a:solidFill>
                <a:schemeClr val="dk1"/>
              </a:solidFill>
              <a:effectLst/>
              <a:latin typeface="+mn-lt"/>
              <a:ea typeface="+mn-ea"/>
              <a:cs typeface="+mn-cs"/>
            </a:rPr>
            <a:t>- Sprint Retrospective : analyse du déroulement du sprint et identification des axes d’amélioration pour le suivant.</a:t>
          </a:r>
          <a:endParaRPr lang="fr-FR" sz="1500">
            <a:effectLst/>
          </a:endParaRPr>
        </a:p>
        <a:p>
          <a:endParaRPr lang="fr-FR" sz="1600" b="0" baseline="0"/>
        </a:p>
        <a:p>
          <a:endParaRPr lang="fr-FR" sz="1500" b="0"/>
        </a:p>
      </xdr:txBody>
    </xdr:sp>
    <xdr:clientData/>
  </xdr:twoCellAnchor>
  <xdr:twoCellAnchor>
    <xdr:from>
      <xdr:col>0</xdr:col>
      <xdr:colOff>0</xdr:colOff>
      <xdr:row>0</xdr:row>
      <xdr:rowOff>29469</xdr:rowOff>
    </xdr:from>
    <xdr:to>
      <xdr:col>7</xdr:col>
      <xdr:colOff>14654</xdr:colOff>
      <xdr:row>2</xdr:row>
      <xdr:rowOff>60960</xdr:rowOff>
    </xdr:to>
    <xdr:sp macro="" textlink="">
      <xdr:nvSpPr>
        <xdr:cNvPr id="6" name="Rectangle 5">
          <a:extLst>
            <a:ext uri="{FF2B5EF4-FFF2-40B4-BE49-F238E27FC236}">
              <a16:creationId xmlns:a16="http://schemas.microsoft.com/office/drawing/2014/main" id="{38717A6A-A410-4E46-91A7-CF45C808F812}"/>
            </a:ext>
          </a:extLst>
        </xdr:cNvPr>
        <xdr:cNvSpPr/>
      </xdr:nvSpPr>
      <xdr:spPr>
        <a:xfrm>
          <a:off x="0" y="29469"/>
          <a:ext cx="18378854" cy="671571"/>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Elaboration du planning</a:t>
          </a:r>
        </a:p>
      </xdr:txBody>
    </xdr:sp>
    <xdr:clientData/>
  </xdr:twoCellAnchor>
  <xdr:twoCellAnchor>
    <xdr:from>
      <xdr:col>0</xdr:col>
      <xdr:colOff>0</xdr:colOff>
      <xdr:row>68</xdr:row>
      <xdr:rowOff>104923</xdr:rowOff>
    </xdr:from>
    <xdr:to>
      <xdr:col>7</xdr:col>
      <xdr:colOff>15240</xdr:colOff>
      <xdr:row>72</xdr:row>
      <xdr:rowOff>12935</xdr:rowOff>
    </xdr:to>
    <xdr:sp macro="" textlink="">
      <xdr:nvSpPr>
        <xdr:cNvPr id="7" name="Rectangle 6">
          <a:extLst>
            <a:ext uri="{FF2B5EF4-FFF2-40B4-BE49-F238E27FC236}">
              <a16:creationId xmlns:a16="http://schemas.microsoft.com/office/drawing/2014/main" id="{A6DF9B42-33EC-4661-A9EA-1F4FA762A653}"/>
            </a:ext>
          </a:extLst>
        </xdr:cNvPr>
        <xdr:cNvSpPr/>
      </xdr:nvSpPr>
      <xdr:spPr>
        <a:xfrm>
          <a:off x="0" y="16960363"/>
          <a:ext cx="18379440" cy="639532"/>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Outils et plan d'organisation des sprints</a:t>
          </a:r>
        </a:p>
      </xdr:txBody>
    </xdr:sp>
    <xdr:clientData/>
  </xdr:twoCellAnchor>
  <xdr:twoCellAnchor>
    <xdr:from>
      <xdr:col>0</xdr:col>
      <xdr:colOff>0</xdr:colOff>
      <xdr:row>85</xdr:row>
      <xdr:rowOff>147873</xdr:rowOff>
    </xdr:from>
    <xdr:to>
      <xdr:col>7</xdr:col>
      <xdr:colOff>45720</xdr:colOff>
      <xdr:row>89</xdr:row>
      <xdr:rowOff>48808</xdr:rowOff>
    </xdr:to>
    <xdr:sp macro="" textlink="">
      <xdr:nvSpPr>
        <xdr:cNvPr id="9" name="Rectangle 8">
          <a:extLst>
            <a:ext uri="{FF2B5EF4-FFF2-40B4-BE49-F238E27FC236}">
              <a16:creationId xmlns:a16="http://schemas.microsoft.com/office/drawing/2014/main" id="{6420BA5E-862E-49DD-8286-B4E8F8654C06}"/>
            </a:ext>
          </a:extLst>
        </xdr:cNvPr>
        <xdr:cNvSpPr/>
      </xdr:nvSpPr>
      <xdr:spPr>
        <a:xfrm>
          <a:off x="0" y="20112273"/>
          <a:ext cx="18409920" cy="632455"/>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Burdown</a:t>
          </a:r>
          <a:r>
            <a:rPr lang="fr-FR" sz="2000" b="1" baseline="0"/>
            <a:t> chart</a:t>
          </a:r>
          <a:endParaRPr lang="fr-FR" sz="2000" b="1"/>
        </a:p>
      </xdr:txBody>
    </xdr:sp>
    <xdr:clientData/>
  </xdr:twoCellAnchor>
  <xdr:twoCellAnchor editAs="oneCell">
    <xdr:from>
      <xdr:col>0</xdr:col>
      <xdr:colOff>0</xdr:colOff>
      <xdr:row>44</xdr:row>
      <xdr:rowOff>153119</xdr:rowOff>
    </xdr:from>
    <xdr:to>
      <xdr:col>7</xdr:col>
      <xdr:colOff>2929</xdr:colOff>
      <xdr:row>68</xdr:row>
      <xdr:rowOff>107564</xdr:rowOff>
    </xdr:to>
    <xdr:pic>
      <xdr:nvPicPr>
        <xdr:cNvPr id="10" name="Image 9">
          <a:extLst>
            <a:ext uri="{FF2B5EF4-FFF2-40B4-BE49-F238E27FC236}">
              <a16:creationId xmlns:a16="http://schemas.microsoft.com/office/drawing/2014/main" id="{36211099-D390-D3FD-BA6B-93752CBAA17A}"/>
            </a:ext>
          </a:extLst>
        </xdr:cNvPr>
        <xdr:cNvPicPr>
          <a:picLocks noChangeAspect="1"/>
        </xdr:cNvPicPr>
      </xdr:nvPicPr>
      <xdr:blipFill>
        <a:blip xmlns:r="http://schemas.openxmlformats.org/officeDocument/2006/relationships" r:embed="rId1"/>
        <a:stretch>
          <a:fillRect/>
        </a:stretch>
      </xdr:blipFill>
      <xdr:spPr>
        <a:xfrm>
          <a:off x="0" y="13107119"/>
          <a:ext cx="18346614" cy="4174753"/>
        </a:xfrm>
        <a:prstGeom prst="rect">
          <a:avLst/>
        </a:prstGeom>
      </xdr:spPr>
    </xdr:pic>
    <xdr:clientData/>
  </xdr:twoCellAnchor>
  <xdr:twoCellAnchor>
    <xdr:from>
      <xdr:col>0</xdr:col>
      <xdr:colOff>0</xdr:colOff>
      <xdr:row>89</xdr:row>
      <xdr:rowOff>48639</xdr:rowOff>
    </xdr:from>
    <xdr:to>
      <xdr:col>7</xdr:col>
      <xdr:colOff>64851</xdr:colOff>
      <xdr:row>118</xdr:row>
      <xdr:rowOff>149929</xdr:rowOff>
    </xdr:to>
    <xdr:graphicFrame macro="">
      <xdr:nvGraphicFramePr>
        <xdr:cNvPr id="8" name="Graphique 7">
          <a:extLst>
            <a:ext uri="{FF2B5EF4-FFF2-40B4-BE49-F238E27FC236}">
              <a16:creationId xmlns:a16="http://schemas.microsoft.com/office/drawing/2014/main" id="{21F03EA5-FD93-40AE-86BF-1EA62B665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44784</xdr:colOff>
      <xdr:row>55</xdr:row>
      <xdr:rowOff>43360</xdr:rowOff>
    </xdr:from>
    <xdr:to>
      <xdr:col>16</xdr:col>
      <xdr:colOff>50929</xdr:colOff>
      <xdr:row>81</xdr:row>
      <xdr:rowOff>0</xdr:rowOff>
    </xdr:to>
    <xdr:graphicFrame macro="">
      <xdr:nvGraphicFramePr>
        <xdr:cNvPr id="4" name="Graphique 3">
          <a:extLst>
            <a:ext uri="{FF2B5EF4-FFF2-40B4-BE49-F238E27FC236}">
              <a16:creationId xmlns:a16="http://schemas.microsoft.com/office/drawing/2014/main" id="{C4F429F4-E4F6-95F6-0F31-3E5CD1378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52</xdr:row>
      <xdr:rowOff>223253</xdr:rowOff>
    </xdr:from>
    <xdr:to>
      <xdr:col>16</xdr:col>
      <xdr:colOff>44823</xdr:colOff>
      <xdr:row>54</xdr:row>
      <xdr:rowOff>213108</xdr:rowOff>
    </xdr:to>
    <xdr:sp macro="" textlink="">
      <xdr:nvSpPr>
        <xdr:cNvPr id="5" name="Rectangle 4">
          <a:extLst>
            <a:ext uri="{FF2B5EF4-FFF2-40B4-BE49-F238E27FC236}">
              <a16:creationId xmlns:a16="http://schemas.microsoft.com/office/drawing/2014/main" id="{3C330486-51EA-4654-9082-18BC293B0710}"/>
            </a:ext>
          </a:extLst>
        </xdr:cNvPr>
        <xdr:cNvSpPr/>
      </xdr:nvSpPr>
      <xdr:spPr>
        <a:xfrm>
          <a:off x="0" y="15762077"/>
          <a:ext cx="28044588" cy="617384"/>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a:t>Evolution</a:t>
          </a:r>
          <a:r>
            <a:rPr lang="fr-FR" sz="2000" baseline="0"/>
            <a:t> des coûts et des gains</a:t>
          </a:r>
          <a:endParaRPr lang="fr-FR" sz="2000"/>
        </a:p>
      </xdr:txBody>
    </xdr:sp>
    <xdr:clientData/>
  </xdr:twoCellAnchor>
  <xdr:twoCellAnchor>
    <xdr:from>
      <xdr:col>0</xdr:col>
      <xdr:colOff>25400</xdr:colOff>
      <xdr:row>0</xdr:row>
      <xdr:rowOff>698500</xdr:rowOff>
    </xdr:from>
    <xdr:to>
      <xdr:col>4</xdr:col>
      <xdr:colOff>0</xdr:colOff>
      <xdr:row>13</xdr:row>
      <xdr:rowOff>12700</xdr:rowOff>
    </xdr:to>
    <xdr:sp macro="" textlink="">
      <xdr:nvSpPr>
        <xdr:cNvPr id="2" name="ZoneTexte 1">
          <a:extLst>
            <a:ext uri="{FF2B5EF4-FFF2-40B4-BE49-F238E27FC236}">
              <a16:creationId xmlns:a16="http://schemas.microsoft.com/office/drawing/2014/main" id="{A1A7EEB4-2E30-9E40-2F32-560D350423DD}"/>
            </a:ext>
          </a:extLst>
        </xdr:cNvPr>
        <xdr:cNvSpPr txBox="1"/>
      </xdr:nvSpPr>
      <xdr:spPr>
        <a:xfrm>
          <a:off x="25400" y="698500"/>
          <a:ext cx="7975600" cy="22606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1" u="sng"/>
            <a:t>Les</a:t>
          </a:r>
          <a:r>
            <a:rPr lang="fr-FR" sz="1500" b="1" u="sng" baseline="0"/>
            <a:t> coûts prendront en compte</a:t>
          </a:r>
        </a:p>
        <a:p>
          <a:endParaRPr lang="fr-FR" sz="1500" b="1" u="sng" baseline="0"/>
        </a:p>
        <a:p>
          <a:pPr marL="285750" indent="-285750">
            <a:buFont typeface="Arial" panose="020B0604020202020204" pitchFamily="34" charset="0"/>
            <a:buChar char="•"/>
          </a:pPr>
          <a:r>
            <a:rPr lang="fr-FR" sz="1500" baseline="0"/>
            <a:t>Les ressources humaines (RH) impliquées dans le projet en tenant compte de leur temps d'implication estimé et leur taux journalier. </a:t>
          </a:r>
        </a:p>
        <a:p>
          <a:pPr marL="285750" indent="-285750">
            <a:buFont typeface="Arial" panose="020B0604020202020204" pitchFamily="34" charset="0"/>
            <a:buChar char="•"/>
          </a:pPr>
          <a:r>
            <a:rPr lang="fr-FR" sz="1500" baseline="0"/>
            <a:t>Les ressources matérielles et logistiques pendant la phase de développement (infrastructures Azure)</a:t>
          </a:r>
        </a:p>
        <a:p>
          <a:pPr marL="285750" indent="-285750">
            <a:buFont typeface="Arial" panose="020B0604020202020204" pitchFamily="34" charset="0"/>
            <a:buChar char="•"/>
          </a:pPr>
          <a:r>
            <a:rPr lang="fr-FR" sz="1500" baseline="0"/>
            <a:t>Les ressources matérielles et logistiques pendant la phase de production (infrastructures Azure évolutives en fonction du volume d'utilisateurs (n &lt; 10 000,   10 000 &lt; n &lt; 25 000, n &gt; 25 000))</a:t>
          </a:r>
        </a:p>
        <a:p>
          <a:pPr marL="285750" indent="-285750">
            <a:buFont typeface="Arial" panose="020B0604020202020204" pitchFamily="34" charset="0"/>
            <a:buChar char="•"/>
          </a:pPr>
          <a:r>
            <a:rPr lang="fr-FR" sz="1500" baseline="0"/>
            <a:t>Les frais liés à la maintenance de l'application qui sont estimés à 15% des coûts engendrés par la phase de développément</a:t>
          </a:r>
          <a:endParaRPr lang="fr-FR" sz="1500"/>
        </a:p>
      </xdr:txBody>
    </xdr:sp>
    <xdr:clientData/>
  </xdr:twoCellAnchor>
  <xdr:twoCellAnchor>
    <xdr:from>
      <xdr:col>5</xdr:col>
      <xdr:colOff>5311</xdr:colOff>
      <xdr:row>0</xdr:row>
      <xdr:rowOff>698500</xdr:rowOff>
    </xdr:from>
    <xdr:to>
      <xdr:col>16</xdr:col>
      <xdr:colOff>15240</xdr:colOff>
      <xdr:row>5</xdr:row>
      <xdr:rowOff>69273</xdr:rowOff>
    </xdr:to>
    <xdr:sp macro="" textlink="">
      <xdr:nvSpPr>
        <xdr:cNvPr id="3" name="ZoneTexte 2">
          <a:extLst>
            <a:ext uri="{FF2B5EF4-FFF2-40B4-BE49-F238E27FC236}">
              <a16:creationId xmlns:a16="http://schemas.microsoft.com/office/drawing/2014/main" id="{36A01DC0-623A-42E2-ABB2-885F19732A88}"/>
            </a:ext>
          </a:extLst>
        </xdr:cNvPr>
        <xdr:cNvSpPr txBox="1"/>
      </xdr:nvSpPr>
      <xdr:spPr>
        <a:xfrm>
          <a:off x="8844511" y="698500"/>
          <a:ext cx="19227569" cy="87953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a:t>Les</a:t>
          </a:r>
          <a:r>
            <a:rPr lang="fr-FR" sz="1500" baseline="0"/>
            <a:t> coûts mensuels relatifs au développement et à la production du projet ainsi que les gains attendus seront estimés sur 3 ans. Cela permettra de visualiser les bénéfices cummulés sur une période suffisante pour observer la montée en charge des infrastructures et la stabilisation des gains en tenant compte de la croissance du nombre d'utilisateur qui sera rapide dans les premiers mois post développement puis plus lente dans les mois suivants. </a:t>
          </a:r>
        </a:p>
        <a:p>
          <a:endParaRPr lang="fr-FR" sz="1500"/>
        </a:p>
      </xdr:txBody>
    </xdr:sp>
    <xdr:clientData/>
  </xdr:twoCellAnchor>
  <xdr:twoCellAnchor>
    <xdr:from>
      <xdr:col>5</xdr:col>
      <xdr:colOff>12953</xdr:colOff>
      <xdr:row>4</xdr:row>
      <xdr:rowOff>52046</xdr:rowOff>
    </xdr:from>
    <xdr:to>
      <xdr:col>9</xdr:col>
      <xdr:colOff>497632</xdr:colOff>
      <xdr:row>13</xdr:row>
      <xdr:rowOff>0</xdr:rowOff>
    </xdr:to>
    <xdr:sp macro="" textlink="">
      <xdr:nvSpPr>
        <xdr:cNvPr id="6" name="ZoneTexte 5">
          <a:extLst>
            <a:ext uri="{FF2B5EF4-FFF2-40B4-BE49-F238E27FC236}">
              <a16:creationId xmlns:a16="http://schemas.microsoft.com/office/drawing/2014/main" id="{E015047F-921A-4629-A9F1-AA899294064D}"/>
            </a:ext>
          </a:extLst>
        </xdr:cNvPr>
        <xdr:cNvSpPr txBox="1"/>
      </xdr:nvSpPr>
      <xdr:spPr>
        <a:xfrm>
          <a:off x="8745473" y="1362686"/>
          <a:ext cx="7388399" cy="173103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1" i="1" u="sng" baseline="0"/>
            <a:t>Les coûts mensuels intègreront: </a:t>
          </a:r>
        </a:p>
        <a:p>
          <a:pPr marL="285750" indent="-285750">
            <a:buFont typeface="Arial" panose="020B0604020202020204" pitchFamily="34" charset="0"/>
            <a:buChar char="•"/>
          </a:pPr>
          <a:r>
            <a:rPr lang="fr-FR" sz="1500" baseline="0"/>
            <a:t>Les coûts RH, logistique et matériels liés à la phase de développement pendant les 5 premiers mois</a:t>
          </a:r>
        </a:p>
        <a:p>
          <a:pPr marL="285750" indent="-285750">
            <a:buFont typeface="Arial" panose="020B0604020202020204" pitchFamily="34" charset="0"/>
            <a:buChar char="•"/>
          </a:pPr>
          <a:r>
            <a:rPr lang="fr-FR" sz="1500" baseline="0"/>
            <a:t>La somme des coûts de maintenance et des coûts de production adaptés au volume d'utilisateurs du mois en cours (selon les palliers définis précédemment) pour les mois suivants</a:t>
          </a:r>
        </a:p>
        <a:p>
          <a:endParaRPr lang="fr-FR" sz="1500" baseline="0"/>
        </a:p>
        <a:p>
          <a:endParaRPr lang="fr-FR" sz="1500"/>
        </a:p>
      </xdr:txBody>
    </xdr:sp>
    <xdr:clientData/>
  </xdr:twoCellAnchor>
  <xdr:twoCellAnchor>
    <xdr:from>
      <xdr:col>9</xdr:col>
      <xdr:colOff>502920</xdr:colOff>
      <xdr:row>4</xdr:row>
      <xdr:rowOff>52046</xdr:rowOff>
    </xdr:from>
    <xdr:to>
      <xdr:col>16</xdr:col>
      <xdr:colOff>30480</xdr:colOff>
      <xdr:row>13</xdr:row>
      <xdr:rowOff>0</xdr:rowOff>
    </xdr:to>
    <xdr:sp macro="" textlink="">
      <xdr:nvSpPr>
        <xdr:cNvPr id="7" name="ZoneTexte 6">
          <a:extLst>
            <a:ext uri="{FF2B5EF4-FFF2-40B4-BE49-F238E27FC236}">
              <a16:creationId xmlns:a16="http://schemas.microsoft.com/office/drawing/2014/main" id="{EB73A940-1E67-42BC-A36F-8D1E3355744C}"/>
            </a:ext>
          </a:extLst>
        </xdr:cNvPr>
        <xdr:cNvSpPr txBox="1"/>
      </xdr:nvSpPr>
      <xdr:spPr>
        <a:xfrm>
          <a:off x="15681960" y="1362686"/>
          <a:ext cx="12405360" cy="173103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1" i="1" u="sng" baseline="0"/>
            <a:t>Les gains mensuels seront estimés en considérant: </a:t>
          </a:r>
        </a:p>
        <a:p>
          <a:pPr marL="285750" indent="-285750">
            <a:buFont typeface="Arial" panose="020B0604020202020204" pitchFamily="34" charset="0"/>
            <a:buChar char="•"/>
          </a:pPr>
          <a:r>
            <a:rPr lang="fr-FR" sz="1500" baseline="0"/>
            <a:t>La fonctionnalité de création de panier développé au bout du 4ième mois (disponible lors du 5ième mois)</a:t>
          </a:r>
        </a:p>
        <a:p>
          <a:pPr marL="285750" indent="-285750">
            <a:buFont typeface="Arial" panose="020B0604020202020204" pitchFamily="34" charset="0"/>
            <a:buChar char="•"/>
          </a:pPr>
          <a:r>
            <a:rPr lang="fr-FR" sz="1500" baseline="0"/>
            <a:t>Un premier panier moyen d'environs 30 € par nouvel utilisateur</a:t>
          </a:r>
        </a:p>
        <a:p>
          <a:pPr marL="285750" indent="-285750">
            <a:buFont typeface="Arial" panose="020B0604020202020204" pitchFamily="34" charset="0"/>
            <a:buChar char="•"/>
          </a:pPr>
          <a:r>
            <a:rPr lang="fr-FR" sz="1500" baseline="0"/>
            <a:t>Des paniers récurrent moyens d'environs 50 euros pour les utilisateurs ayant déjà passé commande</a:t>
          </a:r>
        </a:p>
        <a:p>
          <a:pPr marL="285750" indent="-285750">
            <a:buFont typeface="Arial" panose="020B0604020202020204" pitchFamily="34" charset="0"/>
            <a:buChar char="•"/>
          </a:pPr>
          <a:r>
            <a:rPr lang="fr-FR" sz="1500" baseline="0"/>
            <a:t>L'évolution du nombre d'utilisateurs au cours du temps</a:t>
          </a:r>
        </a:p>
        <a:p>
          <a:pPr marL="285750" indent="-285750">
            <a:buFont typeface="Arial" panose="020B0604020202020204" pitchFamily="34" charset="0"/>
            <a:buChar char="•"/>
          </a:pPr>
          <a:r>
            <a:rPr lang="fr-FR" sz="1500" baseline="0"/>
            <a:t>Une diminution progressive du taux d'autilisateurs actifs au fil du temps</a:t>
          </a:r>
        </a:p>
        <a:p>
          <a:pPr marL="285750" indent="-285750">
            <a:buFont typeface="Arial" panose="020B0604020202020204" pitchFamily="34" charset="0"/>
            <a:buChar char="•"/>
          </a:pPr>
          <a:r>
            <a:rPr lang="fr-FR" sz="1500" baseline="0"/>
            <a:t> La prise en compte de frais supplémentaires liés aux ventes (frais de transaction, taxe...)</a:t>
          </a:r>
        </a:p>
        <a:p>
          <a:endParaRPr lang="fr-FR" sz="15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1762990</xdr:colOff>
      <xdr:row>16</xdr:row>
      <xdr:rowOff>90260</xdr:rowOff>
    </xdr:from>
    <xdr:to>
      <xdr:col>5</xdr:col>
      <xdr:colOff>3020291</xdr:colOff>
      <xdr:row>49</xdr:row>
      <xdr:rowOff>102577</xdr:rowOff>
    </xdr:to>
    <xdr:graphicFrame macro="">
      <xdr:nvGraphicFramePr>
        <xdr:cNvPr id="4" name="Graphique 3">
          <a:extLst>
            <a:ext uri="{FF2B5EF4-FFF2-40B4-BE49-F238E27FC236}">
              <a16:creationId xmlns:a16="http://schemas.microsoft.com/office/drawing/2014/main" id="{E40E9106-615F-40EF-A62C-03FBFE527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3144982</xdr:colOff>
      <xdr:row>16</xdr:row>
      <xdr:rowOff>27272</xdr:rowOff>
    </xdr:from>
    <xdr:to>
      <xdr:col>9</xdr:col>
      <xdr:colOff>2343439</xdr:colOff>
      <xdr:row>49</xdr:row>
      <xdr:rowOff>131885</xdr:rowOff>
    </xdr:to>
    <xdr:graphicFrame macro="">
      <xdr:nvGraphicFramePr>
        <xdr:cNvPr id="5" name="Graphique 4">
          <a:extLst>
            <a:ext uri="{FF2B5EF4-FFF2-40B4-BE49-F238E27FC236}">
              <a16:creationId xmlns:a16="http://schemas.microsoft.com/office/drawing/2014/main" id="{DC92705E-E463-4854-8DF8-E0D450885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xdr:row>
      <xdr:rowOff>142872</xdr:rowOff>
    </xdr:from>
    <xdr:to>
      <xdr:col>3</xdr:col>
      <xdr:colOff>1549120</xdr:colOff>
      <xdr:row>50</xdr:row>
      <xdr:rowOff>14652</xdr:rowOff>
    </xdr:to>
    <xdr:pic>
      <xdr:nvPicPr>
        <xdr:cNvPr id="8" name="Image 7">
          <a:extLst>
            <a:ext uri="{FF2B5EF4-FFF2-40B4-BE49-F238E27FC236}">
              <a16:creationId xmlns:a16="http://schemas.microsoft.com/office/drawing/2014/main" id="{DA6AC3F3-2608-0DEE-D53E-E1EFD6928B30}"/>
            </a:ext>
          </a:extLst>
        </xdr:cNvPr>
        <xdr:cNvPicPr>
          <a:picLocks noChangeAspect="1"/>
        </xdr:cNvPicPr>
      </xdr:nvPicPr>
      <xdr:blipFill rotWithShape="1">
        <a:blip xmlns:r="http://schemas.openxmlformats.org/officeDocument/2006/relationships" r:embed="rId3"/>
        <a:srcRect r="3620"/>
        <a:stretch>
          <a:fillRect/>
        </a:stretch>
      </xdr:blipFill>
      <xdr:spPr>
        <a:xfrm>
          <a:off x="0" y="9316180"/>
          <a:ext cx="7571851" cy="6026397"/>
        </a:xfrm>
        <a:prstGeom prst="rect">
          <a:avLst/>
        </a:prstGeom>
      </xdr:spPr>
    </xdr:pic>
    <xdr:clientData/>
  </xdr:twoCellAnchor>
  <xdr:twoCellAnchor>
    <xdr:from>
      <xdr:col>0</xdr:col>
      <xdr:colOff>27709</xdr:colOff>
      <xdr:row>13</xdr:row>
      <xdr:rowOff>249017</xdr:rowOff>
    </xdr:from>
    <xdr:to>
      <xdr:col>3</xdr:col>
      <xdr:colOff>1607127</xdr:colOff>
      <xdr:row>16</xdr:row>
      <xdr:rowOff>80679</xdr:rowOff>
    </xdr:to>
    <xdr:sp macro="" textlink="">
      <xdr:nvSpPr>
        <xdr:cNvPr id="9" name="Rectangle 8">
          <a:extLst>
            <a:ext uri="{FF2B5EF4-FFF2-40B4-BE49-F238E27FC236}">
              <a16:creationId xmlns:a16="http://schemas.microsoft.com/office/drawing/2014/main" id="{09B60451-E6CA-BEFC-F798-A76C6F1549D4}"/>
            </a:ext>
          </a:extLst>
        </xdr:cNvPr>
        <xdr:cNvSpPr/>
      </xdr:nvSpPr>
      <xdr:spPr>
        <a:xfrm>
          <a:off x="27709" y="8880399"/>
          <a:ext cx="7592291" cy="565953"/>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Matrice de criticité</a:t>
          </a:r>
        </a:p>
      </xdr:txBody>
    </xdr:sp>
    <xdr:clientData/>
  </xdr:twoCellAnchor>
  <xdr:oneCellAnchor>
    <xdr:from>
      <xdr:col>2</xdr:col>
      <xdr:colOff>1290918</xdr:colOff>
      <xdr:row>13</xdr:row>
      <xdr:rowOff>304800</xdr:rowOff>
    </xdr:from>
    <xdr:ext cx="184731" cy="264560"/>
    <xdr:sp macro="" textlink="">
      <xdr:nvSpPr>
        <xdr:cNvPr id="10" name="ZoneTexte 9">
          <a:extLst>
            <a:ext uri="{FF2B5EF4-FFF2-40B4-BE49-F238E27FC236}">
              <a16:creationId xmlns:a16="http://schemas.microsoft.com/office/drawing/2014/main" id="{CC913FEB-B98E-7FBD-3B67-03ED1CE979C7}"/>
            </a:ext>
          </a:extLst>
        </xdr:cNvPr>
        <xdr:cNvSpPr txBox="1"/>
      </xdr:nvSpPr>
      <xdr:spPr>
        <a:xfrm>
          <a:off x="3200400" y="77455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3</xdr:col>
      <xdr:colOff>1801091</xdr:colOff>
      <xdr:row>13</xdr:row>
      <xdr:rowOff>249016</xdr:rowOff>
    </xdr:from>
    <xdr:to>
      <xdr:col>5</xdr:col>
      <xdr:colOff>3048000</xdr:colOff>
      <xdr:row>16</xdr:row>
      <xdr:rowOff>80678</xdr:rowOff>
    </xdr:to>
    <xdr:sp macro="" textlink="">
      <xdr:nvSpPr>
        <xdr:cNvPr id="11" name="Rectangle 10">
          <a:extLst>
            <a:ext uri="{FF2B5EF4-FFF2-40B4-BE49-F238E27FC236}">
              <a16:creationId xmlns:a16="http://schemas.microsoft.com/office/drawing/2014/main" id="{0BF2DF74-75FE-4256-A61F-521A199CFAD0}"/>
            </a:ext>
          </a:extLst>
        </xdr:cNvPr>
        <xdr:cNvSpPr/>
      </xdr:nvSpPr>
      <xdr:spPr>
        <a:xfrm>
          <a:off x="7813964" y="8880398"/>
          <a:ext cx="8617527" cy="565953"/>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Radar de la criticité</a:t>
          </a:r>
        </a:p>
      </xdr:txBody>
    </xdr:sp>
    <xdr:clientData/>
  </xdr:twoCellAnchor>
  <xdr:twoCellAnchor>
    <xdr:from>
      <xdr:col>5</xdr:col>
      <xdr:colOff>3158834</xdr:colOff>
      <xdr:row>13</xdr:row>
      <xdr:rowOff>250590</xdr:rowOff>
    </xdr:from>
    <xdr:to>
      <xdr:col>9</xdr:col>
      <xdr:colOff>2327562</xdr:colOff>
      <xdr:row>16</xdr:row>
      <xdr:rowOff>82252</xdr:rowOff>
    </xdr:to>
    <xdr:sp macro="" textlink="">
      <xdr:nvSpPr>
        <xdr:cNvPr id="12" name="Rectangle 11">
          <a:extLst>
            <a:ext uri="{FF2B5EF4-FFF2-40B4-BE49-F238E27FC236}">
              <a16:creationId xmlns:a16="http://schemas.microsoft.com/office/drawing/2014/main" id="{E067E0F4-7F9F-432E-811D-C33BC6A2C541}"/>
            </a:ext>
          </a:extLst>
        </xdr:cNvPr>
        <xdr:cNvSpPr/>
      </xdr:nvSpPr>
      <xdr:spPr>
        <a:xfrm>
          <a:off x="16542325" y="8881972"/>
          <a:ext cx="8700655" cy="565953"/>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Barplot de la criticité</a:t>
          </a:r>
        </a:p>
      </xdr:txBody>
    </xdr:sp>
    <xdr:clientData/>
  </xdr:twoCellAnchor>
  <xdr:twoCellAnchor>
    <xdr:from>
      <xdr:col>9</xdr:col>
      <xdr:colOff>2410690</xdr:colOff>
      <xdr:row>13</xdr:row>
      <xdr:rowOff>250591</xdr:rowOff>
    </xdr:from>
    <xdr:to>
      <xdr:col>11</xdr:col>
      <xdr:colOff>13856</xdr:colOff>
      <xdr:row>16</xdr:row>
      <xdr:rowOff>82253</xdr:rowOff>
    </xdr:to>
    <xdr:sp macro="" textlink="">
      <xdr:nvSpPr>
        <xdr:cNvPr id="22" name="Rectangle 21">
          <a:extLst>
            <a:ext uri="{FF2B5EF4-FFF2-40B4-BE49-F238E27FC236}">
              <a16:creationId xmlns:a16="http://schemas.microsoft.com/office/drawing/2014/main" id="{884FF12D-4F41-4111-B82B-C966649EB200}"/>
            </a:ext>
          </a:extLst>
        </xdr:cNvPr>
        <xdr:cNvSpPr/>
      </xdr:nvSpPr>
      <xdr:spPr>
        <a:xfrm>
          <a:off x="25326108" y="8881973"/>
          <a:ext cx="5320148" cy="565953"/>
        </a:xfrm>
        <a:prstGeom prst="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fr-FR" sz="2000" b="1"/>
            <a:t>Distribution des risques / conséquences</a:t>
          </a:r>
        </a:p>
      </xdr:txBody>
    </xdr:sp>
    <xdr:clientData/>
  </xdr:twoCellAnchor>
  <xdr:twoCellAnchor>
    <xdr:from>
      <xdr:col>9</xdr:col>
      <xdr:colOff>2431473</xdr:colOff>
      <xdr:row>16</xdr:row>
      <xdr:rowOff>96981</xdr:rowOff>
    </xdr:from>
    <xdr:to>
      <xdr:col>11</xdr:col>
      <xdr:colOff>13854</xdr:colOff>
      <xdr:row>49</xdr:row>
      <xdr:rowOff>161192</xdr:rowOff>
    </xdr:to>
    <xdr:graphicFrame macro="">
      <xdr:nvGraphicFramePr>
        <xdr:cNvPr id="23" name="Graphique 22">
          <a:extLst>
            <a:ext uri="{FF2B5EF4-FFF2-40B4-BE49-F238E27FC236}">
              <a16:creationId xmlns:a16="http://schemas.microsoft.com/office/drawing/2014/main" id="{49F1D592-6110-B5E2-74A2-E743DFE05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mailto:a-lerise@fashion-insta.com" TargetMode="External"/><Relationship Id="rId2" Type="http://schemas.openxmlformats.org/officeDocument/2006/relationships/hyperlink" Target="mailto:v-maler@fashion-insta.com" TargetMode="External"/><Relationship Id="rId1" Type="http://schemas.openxmlformats.org/officeDocument/2006/relationships/hyperlink" Target="mailto:contact@fashion-insta.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a-lerise@fashion-insta.com" TargetMode="External"/><Relationship Id="rId2" Type="http://schemas.openxmlformats.org/officeDocument/2006/relationships/hyperlink" Target="mailto:v-maler@fashion-insta.com" TargetMode="External"/><Relationship Id="rId1" Type="http://schemas.openxmlformats.org/officeDocument/2006/relationships/hyperlink" Target="mailto:contact@fashion-ins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B59E-35BD-457F-B601-BFA016D11B00}">
  <dimension ref="A25:DQ36"/>
  <sheetViews>
    <sheetView topLeftCell="A2" zoomScale="65" zoomScaleNormal="115" workbookViewId="0">
      <selection activeCell="DW13" sqref="DW13"/>
    </sheetView>
  </sheetViews>
  <sheetFormatPr baseColWidth="10" defaultRowHeight="14.4" x14ac:dyDescent="0.3"/>
  <cols>
    <col min="1" max="1" width="12.88671875" customWidth="1"/>
    <col min="2" max="121" width="2.21875" customWidth="1"/>
    <col min="122" max="127" width="1.44140625" customWidth="1"/>
  </cols>
  <sheetData>
    <row r="25" spans="1:121" ht="18" x14ac:dyDescent="0.35">
      <c r="A25" s="73"/>
      <c r="B25" s="125" t="s">
        <v>490</v>
      </c>
      <c r="C25" s="126"/>
      <c r="D25" s="126"/>
      <c r="E25" s="126"/>
      <c r="F25" s="126"/>
      <c r="G25" s="126"/>
      <c r="H25" s="126"/>
      <c r="I25" s="126"/>
      <c r="J25" s="126"/>
      <c r="K25" s="127"/>
      <c r="L25" s="125" t="s">
        <v>489</v>
      </c>
      <c r="M25" s="126"/>
      <c r="N25" s="126"/>
      <c r="O25" s="126"/>
      <c r="P25" s="126"/>
      <c r="Q25" s="126"/>
      <c r="R25" s="126"/>
      <c r="S25" s="126"/>
      <c r="T25" s="126"/>
      <c r="U25" s="126"/>
      <c r="V25" s="126"/>
      <c r="W25" s="126"/>
      <c r="X25" s="126"/>
      <c r="Y25" s="126"/>
      <c r="Z25" s="126"/>
      <c r="AA25" s="126"/>
      <c r="AB25" s="126"/>
      <c r="AC25" s="126"/>
      <c r="AD25" s="126"/>
      <c r="AE25" s="127"/>
      <c r="AF25" s="125" t="s">
        <v>491</v>
      </c>
      <c r="AG25" s="126"/>
      <c r="AH25" s="126"/>
      <c r="AI25" s="126"/>
      <c r="AJ25" s="126"/>
      <c r="AK25" s="126"/>
      <c r="AL25" s="126"/>
      <c r="AM25" s="126"/>
      <c r="AN25" s="126"/>
      <c r="AO25" s="126"/>
      <c r="AP25" s="126"/>
      <c r="AQ25" s="126"/>
      <c r="AR25" s="126"/>
      <c r="AS25" s="126"/>
      <c r="AT25" s="126"/>
      <c r="AU25" s="126"/>
      <c r="AV25" s="126"/>
      <c r="AW25" s="126"/>
      <c r="AX25" s="126"/>
      <c r="AY25" s="127"/>
      <c r="AZ25" s="125" t="s">
        <v>492</v>
      </c>
      <c r="BA25" s="126"/>
      <c r="BB25" s="126"/>
      <c r="BC25" s="126"/>
      <c r="BD25" s="126"/>
      <c r="BE25" s="126"/>
      <c r="BF25" s="126"/>
      <c r="BG25" s="126"/>
      <c r="BH25" s="126"/>
      <c r="BI25" s="127"/>
      <c r="BJ25" s="125" t="s">
        <v>493</v>
      </c>
      <c r="BK25" s="126"/>
      <c r="BL25" s="126"/>
      <c r="BM25" s="126"/>
      <c r="BN25" s="126"/>
      <c r="BO25" s="126"/>
      <c r="BP25" s="126"/>
      <c r="BQ25" s="126"/>
      <c r="BR25" s="126"/>
      <c r="BS25" s="126"/>
      <c r="BT25" s="126"/>
      <c r="BU25" s="126"/>
      <c r="BV25" s="126"/>
      <c r="BW25" s="126"/>
      <c r="BX25" s="126"/>
      <c r="BY25" s="126"/>
      <c r="BZ25" s="126"/>
      <c r="CA25" s="126"/>
      <c r="CB25" s="126"/>
      <c r="CC25" s="127"/>
      <c r="CD25" s="125" t="s">
        <v>494</v>
      </c>
      <c r="CE25" s="126"/>
      <c r="CF25" s="126"/>
      <c r="CG25" s="126"/>
      <c r="CH25" s="126"/>
      <c r="CI25" s="126"/>
      <c r="CJ25" s="126"/>
      <c r="CK25" s="126"/>
      <c r="CL25" s="126"/>
      <c r="CM25" s="126"/>
      <c r="CN25" s="126"/>
      <c r="CO25" s="126"/>
      <c r="CP25" s="126"/>
      <c r="CQ25" s="126"/>
      <c r="CR25" s="126"/>
      <c r="CS25" s="126"/>
      <c r="CT25" s="126"/>
      <c r="CU25" s="126"/>
      <c r="CV25" s="126"/>
      <c r="CW25" s="127"/>
      <c r="CX25" s="128" t="s">
        <v>495</v>
      </c>
      <c r="CY25" s="129"/>
      <c r="CZ25" s="129"/>
      <c r="DA25" s="129"/>
      <c r="DB25" s="129"/>
      <c r="DC25" s="129"/>
      <c r="DD25" s="129"/>
      <c r="DE25" s="129"/>
      <c r="DF25" s="129"/>
      <c r="DG25" s="129"/>
      <c r="DH25" s="129"/>
      <c r="DI25" s="129"/>
      <c r="DJ25" s="129"/>
      <c r="DK25" s="129"/>
      <c r="DL25" s="129"/>
      <c r="DM25" s="129"/>
      <c r="DN25" s="129"/>
      <c r="DO25" s="129"/>
      <c r="DP25" s="129"/>
      <c r="DQ25" s="130"/>
    </row>
    <row r="26" spans="1:121" ht="30" customHeight="1" x14ac:dyDescent="0.35">
      <c r="A26" s="74" t="s">
        <v>473</v>
      </c>
      <c r="B26" s="75"/>
      <c r="C26" s="76"/>
      <c r="D26" s="76"/>
      <c r="E26" s="76"/>
      <c r="F26" s="77"/>
      <c r="G26" s="77"/>
      <c r="H26" s="78"/>
      <c r="I26" s="78"/>
      <c r="J26" s="78"/>
      <c r="K26" s="79"/>
      <c r="L26" s="80"/>
      <c r="M26" s="20"/>
      <c r="N26" s="20"/>
      <c r="O26" s="20"/>
      <c r="P26" s="20"/>
      <c r="Q26" s="20"/>
      <c r="R26" s="20"/>
      <c r="S26" s="20"/>
      <c r="T26" s="20"/>
      <c r="U26" s="20"/>
      <c r="V26" s="20"/>
      <c r="W26" s="20"/>
      <c r="X26" s="20"/>
      <c r="Y26" s="20"/>
      <c r="Z26" s="20"/>
      <c r="AA26" s="20"/>
      <c r="AB26" s="20"/>
      <c r="AC26" s="20"/>
      <c r="AD26" s="20"/>
      <c r="AE26" s="81"/>
      <c r="AF26" s="80"/>
      <c r="AG26" s="20"/>
      <c r="AH26" s="20"/>
      <c r="AI26" s="20"/>
      <c r="AJ26" s="20"/>
      <c r="AK26" s="20"/>
      <c r="AL26" s="20"/>
      <c r="AM26" s="20"/>
      <c r="AN26" s="20"/>
      <c r="AO26" s="20"/>
      <c r="AP26" s="20"/>
      <c r="AQ26" s="20"/>
      <c r="AR26" s="20"/>
      <c r="AS26" s="20"/>
      <c r="AT26" s="20"/>
      <c r="AU26" s="20"/>
      <c r="AV26" s="20"/>
      <c r="AW26" s="20"/>
      <c r="AX26" s="20"/>
      <c r="AY26" s="81"/>
      <c r="AZ26" s="80"/>
      <c r="BA26" s="20"/>
      <c r="BB26" s="20"/>
      <c r="BC26" s="20"/>
      <c r="BD26" s="20"/>
      <c r="BE26" s="20"/>
      <c r="BF26" s="20"/>
      <c r="BG26" s="20"/>
      <c r="BH26" s="20"/>
      <c r="BI26" s="81"/>
      <c r="BJ26" s="80"/>
      <c r="BK26" s="20"/>
      <c r="BL26" s="20"/>
      <c r="BM26" s="20"/>
      <c r="BN26" s="20"/>
      <c r="BO26" s="20"/>
      <c r="BP26" s="20"/>
      <c r="BQ26" s="20"/>
      <c r="BR26" s="20"/>
      <c r="BS26" s="20"/>
      <c r="BT26" s="20"/>
      <c r="BU26" s="20"/>
      <c r="BV26" s="20"/>
      <c r="BW26" s="20"/>
      <c r="BX26" s="20"/>
      <c r="BY26" s="20"/>
      <c r="BZ26" s="20"/>
      <c r="CA26" s="20"/>
      <c r="CB26" s="20"/>
      <c r="CC26" s="81"/>
      <c r="CD26" s="80"/>
      <c r="CE26" s="20"/>
      <c r="CF26" s="20"/>
      <c r="CG26" s="20"/>
      <c r="CH26" s="20"/>
      <c r="CI26" s="20"/>
      <c r="CJ26" s="20"/>
      <c r="CK26" s="20"/>
      <c r="CL26" s="20"/>
      <c r="CM26" s="20"/>
      <c r="CN26" s="20"/>
      <c r="CO26" s="20"/>
      <c r="CP26" s="20"/>
      <c r="CQ26" s="20"/>
      <c r="CR26" s="20"/>
      <c r="CS26" s="20"/>
      <c r="CT26" s="20"/>
      <c r="CU26" s="20"/>
      <c r="CV26" s="20"/>
      <c r="CW26" s="81"/>
      <c r="CX26" s="82"/>
      <c r="CY26" s="83"/>
      <c r="CZ26" s="83"/>
      <c r="DA26" s="83"/>
      <c r="DB26" s="83"/>
      <c r="DC26" s="83"/>
      <c r="DD26" s="83"/>
      <c r="DE26" s="83"/>
      <c r="DF26" s="83"/>
      <c r="DG26" s="83"/>
      <c r="DH26" s="83"/>
      <c r="DI26" s="83"/>
      <c r="DJ26" s="83"/>
      <c r="DK26" s="83"/>
      <c r="DL26" s="83"/>
      <c r="DM26" s="83"/>
      <c r="DN26" s="83"/>
      <c r="DO26" s="83"/>
      <c r="DP26" s="83"/>
      <c r="DQ26" s="84"/>
    </row>
    <row r="27" spans="1:121" ht="30" customHeight="1" x14ac:dyDescent="0.35">
      <c r="A27" s="85" t="s">
        <v>474</v>
      </c>
      <c r="B27" s="86"/>
      <c r="C27" s="87"/>
      <c r="D27" s="87"/>
      <c r="E27" s="87"/>
      <c r="F27" s="88"/>
      <c r="G27" s="88"/>
      <c r="H27" s="20"/>
      <c r="I27" s="20"/>
      <c r="J27" s="20"/>
      <c r="K27" s="81"/>
      <c r="L27" s="89"/>
      <c r="M27" s="90"/>
      <c r="N27" s="90"/>
      <c r="O27" s="90"/>
      <c r="P27" s="90"/>
      <c r="Q27" s="90"/>
      <c r="R27" s="90"/>
      <c r="S27" s="90"/>
      <c r="T27" s="90"/>
      <c r="U27" s="90"/>
      <c r="V27" s="90"/>
      <c r="W27" s="90"/>
      <c r="X27" s="90"/>
      <c r="Y27" s="90"/>
      <c r="Z27" s="90"/>
      <c r="AA27" s="90"/>
      <c r="AB27" s="90"/>
      <c r="AC27" s="90"/>
      <c r="AD27" s="90"/>
      <c r="AE27" s="91"/>
      <c r="AF27" s="80"/>
      <c r="AG27" s="20"/>
      <c r="AH27" s="20"/>
      <c r="AI27" s="20"/>
      <c r="AJ27" s="20"/>
      <c r="AK27" s="20"/>
      <c r="AL27" s="20"/>
      <c r="AM27" s="20"/>
      <c r="AN27" s="20"/>
      <c r="AO27" s="20"/>
      <c r="AP27" s="20"/>
      <c r="AQ27" s="20"/>
      <c r="AR27" s="20"/>
      <c r="AS27" s="20"/>
      <c r="AT27" s="20"/>
      <c r="AU27" s="20"/>
      <c r="AV27" s="20"/>
      <c r="AW27" s="20"/>
      <c r="AX27" s="20"/>
      <c r="AY27" s="81"/>
      <c r="AZ27" s="80"/>
      <c r="BA27" s="20"/>
      <c r="BB27" s="20"/>
      <c r="BC27" s="20"/>
      <c r="BD27" s="20"/>
      <c r="BE27" s="20"/>
      <c r="BF27" s="20"/>
      <c r="BG27" s="20"/>
      <c r="BH27" s="20"/>
      <c r="BI27" s="81"/>
      <c r="BJ27" s="80"/>
      <c r="BK27" s="20"/>
      <c r="BL27" s="20"/>
      <c r="BM27" s="20"/>
      <c r="BN27" s="20"/>
      <c r="BO27" s="20"/>
      <c r="BP27" s="20"/>
      <c r="BQ27" s="20"/>
      <c r="BR27" s="20"/>
      <c r="BS27" s="20"/>
      <c r="BT27" s="20"/>
      <c r="BU27" s="20"/>
      <c r="BV27" s="20"/>
      <c r="BW27" s="20"/>
      <c r="BX27" s="20"/>
      <c r="BY27" s="20"/>
      <c r="BZ27" s="20"/>
      <c r="CA27" s="20"/>
      <c r="CB27" s="20"/>
      <c r="CC27" s="81"/>
      <c r="CD27" s="80"/>
      <c r="CE27" s="20"/>
      <c r="CF27" s="20"/>
      <c r="CG27" s="20"/>
      <c r="CH27" s="20"/>
      <c r="CI27" s="20"/>
      <c r="CJ27" s="20"/>
      <c r="CK27" s="20"/>
      <c r="CL27" s="20"/>
      <c r="CM27" s="20"/>
      <c r="CN27" s="20"/>
      <c r="CO27" s="20"/>
      <c r="CP27" s="20"/>
      <c r="CQ27" s="20"/>
      <c r="CR27" s="20"/>
      <c r="CS27" s="20"/>
      <c r="CT27" s="20"/>
      <c r="CU27" s="20"/>
      <c r="CV27" s="20"/>
      <c r="CW27" s="81"/>
      <c r="CX27" s="80"/>
      <c r="CY27" s="20"/>
      <c r="CZ27" s="20"/>
      <c r="DA27" s="20"/>
      <c r="DB27" s="20"/>
      <c r="DC27" s="20"/>
      <c r="DD27" s="20"/>
      <c r="DE27" s="20"/>
      <c r="DF27" s="20"/>
      <c r="DG27" s="20"/>
      <c r="DH27" s="20"/>
      <c r="DI27" s="20"/>
      <c r="DJ27" s="20"/>
      <c r="DK27" s="20"/>
      <c r="DL27" s="20"/>
      <c r="DM27" s="20"/>
      <c r="DN27" s="20"/>
      <c r="DO27" s="20"/>
      <c r="DP27" s="20"/>
      <c r="DQ27" s="81"/>
    </row>
    <row r="28" spans="1:121" ht="30" customHeight="1" x14ac:dyDescent="0.35">
      <c r="A28" s="92" t="s">
        <v>475</v>
      </c>
      <c r="B28" s="86"/>
      <c r="C28" s="87"/>
      <c r="D28" s="87"/>
      <c r="E28" s="87"/>
      <c r="F28" s="88"/>
      <c r="G28" s="88"/>
      <c r="H28" s="20"/>
      <c r="I28" s="20"/>
      <c r="J28" s="20"/>
      <c r="K28" s="81"/>
      <c r="L28" s="80"/>
      <c r="M28" s="20"/>
      <c r="N28" s="20"/>
      <c r="O28" s="20"/>
      <c r="P28" s="20"/>
      <c r="Q28" s="20"/>
      <c r="R28" s="20"/>
      <c r="S28" s="20"/>
      <c r="T28" s="20"/>
      <c r="U28" s="20"/>
      <c r="V28" s="20"/>
      <c r="W28" s="20"/>
      <c r="X28" s="20"/>
      <c r="Y28" s="20"/>
      <c r="Z28" s="20"/>
      <c r="AA28" s="20"/>
      <c r="AB28" s="20"/>
      <c r="AC28" s="20"/>
      <c r="AD28" s="20"/>
      <c r="AE28" s="81"/>
      <c r="AF28" s="93"/>
      <c r="AG28" s="94"/>
      <c r="AH28" s="94"/>
      <c r="AI28" s="94"/>
      <c r="AJ28" s="94"/>
      <c r="AK28" s="94"/>
      <c r="AL28" s="94"/>
      <c r="AM28" s="94"/>
      <c r="AN28" s="94"/>
      <c r="AO28" s="94"/>
      <c r="AP28" s="94"/>
      <c r="AQ28" s="94"/>
      <c r="AR28" s="94"/>
      <c r="AS28" s="94"/>
      <c r="AT28" s="94"/>
      <c r="AU28" s="94"/>
      <c r="AV28" s="94"/>
      <c r="AW28" s="94"/>
      <c r="AX28" s="94"/>
      <c r="AY28" s="95"/>
      <c r="AZ28" s="80"/>
      <c r="BA28" s="20"/>
      <c r="BB28" s="20"/>
      <c r="BC28" s="20"/>
      <c r="BD28" s="20"/>
      <c r="BE28" s="20"/>
      <c r="BF28" s="20"/>
      <c r="BG28" s="20"/>
      <c r="BH28" s="20"/>
      <c r="BI28" s="81"/>
      <c r="BJ28" s="80"/>
      <c r="BK28" s="20"/>
      <c r="BL28" s="20"/>
      <c r="BM28" s="20"/>
      <c r="BN28" s="20"/>
      <c r="BO28" s="20"/>
      <c r="BP28" s="20"/>
      <c r="BQ28" s="20"/>
      <c r="BR28" s="20"/>
      <c r="BS28" s="20"/>
      <c r="BT28" s="20"/>
      <c r="BU28" s="20"/>
      <c r="BV28" s="20"/>
      <c r="BW28" s="20"/>
      <c r="BX28" s="20"/>
      <c r="BY28" s="20"/>
      <c r="BZ28" s="20"/>
      <c r="CA28" s="20"/>
      <c r="CB28" s="20"/>
      <c r="CC28" s="81"/>
      <c r="CD28" s="80"/>
      <c r="CE28" s="20"/>
      <c r="CF28" s="20"/>
      <c r="CG28" s="20"/>
      <c r="CH28" s="20"/>
      <c r="CI28" s="20"/>
      <c r="CJ28" s="20"/>
      <c r="CK28" s="20"/>
      <c r="CL28" s="20"/>
      <c r="CM28" s="20"/>
      <c r="CN28" s="20"/>
      <c r="CO28" s="20"/>
      <c r="CP28" s="20"/>
      <c r="CQ28" s="20"/>
      <c r="CR28" s="20"/>
      <c r="CS28" s="20"/>
      <c r="CT28" s="20"/>
      <c r="CU28" s="20"/>
      <c r="CV28" s="20"/>
      <c r="CW28" s="81"/>
      <c r="CX28" s="80"/>
      <c r="CY28" s="20"/>
      <c r="CZ28" s="20"/>
      <c r="DA28" s="20"/>
      <c r="DB28" s="20"/>
      <c r="DC28" s="20"/>
      <c r="DD28" s="20"/>
      <c r="DE28" s="20"/>
      <c r="DF28" s="20"/>
      <c r="DG28" s="20"/>
      <c r="DH28" s="20"/>
      <c r="DI28" s="20"/>
      <c r="DJ28" s="20"/>
      <c r="DK28" s="20"/>
      <c r="DL28" s="20"/>
      <c r="DM28" s="20"/>
      <c r="DN28" s="20"/>
      <c r="DO28" s="20"/>
      <c r="DP28" s="20"/>
      <c r="DQ28" s="81"/>
    </row>
    <row r="29" spans="1:121" ht="30" customHeight="1" x14ac:dyDescent="0.35">
      <c r="A29" s="111" t="s">
        <v>476</v>
      </c>
      <c r="B29" s="86"/>
      <c r="C29" s="87"/>
      <c r="D29" s="87"/>
      <c r="E29" s="87"/>
      <c r="F29" s="88"/>
      <c r="G29" s="88"/>
      <c r="H29" s="20"/>
      <c r="I29" s="20"/>
      <c r="J29" s="20"/>
      <c r="K29" s="81"/>
      <c r="L29" s="80"/>
      <c r="M29" s="20"/>
      <c r="N29" s="20"/>
      <c r="O29" s="20"/>
      <c r="P29" s="20"/>
      <c r="Q29" s="20"/>
      <c r="R29" s="20"/>
      <c r="S29" s="20"/>
      <c r="T29" s="20"/>
      <c r="U29" s="20"/>
      <c r="V29" s="20"/>
      <c r="W29" s="20"/>
      <c r="X29" s="20"/>
      <c r="Y29" s="20"/>
      <c r="Z29" s="20"/>
      <c r="AA29" s="20"/>
      <c r="AB29" s="20"/>
      <c r="AC29" s="20"/>
      <c r="AD29" s="20"/>
      <c r="AE29" s="81"/>
      <c r="AF29" s="80"/>
      <c r="AG29" s="20"/>
      <c r="AH29" s="20"/>
      <c r="AI29" s="20"/>
      <c r="AJ29" s="20"/>
      <c r="AK29" s="20"/>
      <c r="AL29" s="20"/>
      <c r="AM29" s="20"/>
      <c r="AN29" s="20"/>
      <c r="AO29" s="20"/>
      <c r="AP29" s="20"/>
      <c r="AQ29" s="20"/>
      <c r="AR29" s="20"/>
      <c r="AS29" s="20"/>
      <c r="AT29" s="20"/>
      <c r="AU29" s="20"/>
      <c r="AV29" s="20"/>
      <c r="AW29" s="20"/>
      <c r="AX29" s="20"/>
      <c r="AY29" s="81"/>
      <c r="AZ29" s="96"/>
      <c r="BA29" s="97"/>
      <c r="BB29" s="97"/>
      <c r="BC29" s="97"/>
      <c r="BD29" s="97"/>
      <c r="BE29" s="97"/>
      <c r="BF29" s="97"/>
      <c r="BG29" s="97"/>
      <c r="BH29" s="97"/>
      <c r="BI29" s="115"/>
      <c r="BJ29" s="80"/>
      <c r="BK29" s="20"/>
      <c r="BL29" s="20"/>
      <c r="BM29" s="20"/>
      <c r="BN29" s="20"/>
      <c r="BO29" s="20"/>
      <c r="BP29" s="20"/>
      <c r="BQ29" s="20"/>
      <c r="BR29" s="20"/>
      <c r="BS29" s="20"/>
      <c r="BT29" s="20"/>
      <c r="BU29" s="20"/>
      <c r="BV29" s="20"/>
      <c r="BW29" s="20"/>
      <c r="BX29" s="20"/>
      <c r="BY29" s="20"/>
      <c r="BZ29" s="20"/>
      <c r="CA29" s="20"/>
      <c r="CB29" s="20"/>
      <c r="CC29" s="81"/>
      <c r="CD29" s="80"/>
      <c r="CE29" s="20"/>
      <c r="CF29" s="20"/>
      <c r="CG29" s="20"/>
      <c r="CH29" s="20"/>
      <c r="CI29" s="20"/>
      <c r="CJ29" s="20"/>
      <c r="CK29" s="20"/>
      <c r="CL29" s="20"/>
      <c r="CM29" s="20"/>
      <c r="CN29" s="20"/>
      <c r="CO29" s="20"/>
      <c r="CP29" s="20"/>
      <c r="CQ29" s="20"/>
      <c r="CR29" s="20"/>
      <c r="CS29" s="20"/>
      <c r="CT29" s="20"/>
      <c r="CU29" s="20"/>
      <c r="CV29" s="20"/>
      <c r="CW29" s="81"/>
      <c r="CX29" s="80"/>
      <c r="CY29" s="20"/>
      <c r="CZ29" s="20"/>
      <c r="DA29" s="20"/>
      <c r="DB29" s="20"/>
      <c r="DC29" s="20"/>
      <c r="DD29" s="20"/>
      <c r="DE29" s="20"/>
      <c r="DF29" s="20"/>
      <c r="DG29" s="20"/>
      <c r="DH29" s="20"/>
      <c r="DI29" s="20"/>
      <c r="DJ29" s="20"/>
      <c r="DK29" s="20"/>
      <c r="DL29" s="20"/>
      <c r="DM29" s="20"/>
      <c r="DN29" s="20"/>
      <c r="DO29" s="20"/>
      <c r="DP29" s="20"/>
      <c r="DQ29" s="81"/>
    </row>
    <row r="30" spans="1:121" ht="30" customHeight="1" x14ac:dyDescent="0.35">
      <c r="A30" s="112" t="s">
        <v>477</v>
      </c>
      <c r="B30" s="86"/>
      <c r="C30" s="87"/>
      <c r="D30" s="87"/>
      <c r="E30" s="87"/>
      <c r="F30" s="88"/>
      <c r="G30" s="88"/>
      <c r="H30" s="20"/>
      <c r="I30" s="20"/>
      <c r="J30" s="20"/>
      <c r="K30" s="81"/>
      <c r="L30" s="80"/>
      <c r="M30" s="20"/>
      <c r="N30" s="20"/>
      <c r="O30" s="20"/>
      <c r="P30" s="20"/>
      <c r="Q30" s="20"/>
      <c r="R30" s="20"/>
      <c r="S30" s="20"/>
      <c r="T30" s="20"/>
      <c r="U30" s="20"/>
      <c r="V30" s="20"/>
      <c r="W30" s="20"/>
      <c r="X30" s="20"/>
      <c r="Y30" s="20"/>
      <c r="Z30" s="20"/>
      <c r="AA30" s="20"/>
      <c r="AB30" s="20"/>
      <c r="AC30" s="20"/>
      <c r="AD30" s="20"/>
      <c r="AE30" s="81"/>
      <c r="AF30" s="80"/>
      <c r="AG30" s="20"/>
      <c r="AH30" s="20"/>
      <c r="AI30" s="20"/>
      <c r="AJ30" s="20"/>
      <c r="AK30" s="20"/>
      <c r="AL30" s="20"/>
      <c r="AM30" s="20"/>
      <c r="AN30" s="20"/>
      <c r="AO30" s="20"/>
      <c r="AP30" s="20"/>
      <c r="AQ30" s="20"/>
      <c r="AR30" s="20"/>
      <c r="AS30" s="20"/>
      <c r="AT30" s="20"/>
      <c r="AU30" s="20"/>
      <c r="AV30" s="20"/>
      <c r="AW30" s="20"/>
      <c r="AX30" s="20"/>
      <c r="AY30" s="81"/>
      <c r="AZ30" s="80"/>
      <c r="BA30" s="20"/>
      <c r="BB30" s="20"/>
      <c r="BC30" s="20"/>
      <c r="BD30" s="20"/>
      <c r="BE30" s="20"/>
      <c r="BF30" s="20"/>
      <c r="BG30" s="20"/>
      <c r="BH30" s="20"/>
      <c r="BI30" s="81"/>
      <c r="BJ30" s="98"/>
      <c r="BK30" s="99"/>
      <c r="BL30" s="99"/>
      <c r="BM30" s="99"/>
      <c r="BN30" s="99"/>
      <c r="BO30" s="99"/>
      <c r="BP30" s="99"/>
      <c r="BQ30" s="99"/>
      <c r="BR30" s="99"/>
      <c r="BS30" s="99"/>
      <c r="BT30" s="99"/>
      <c r="BU30" s="99"/>
      <c r="BV30" s="99"/>
      <c r="BW30" s="99"/>
      <c r="BX30" s="99"/>
      <c r="BY30" s="99"/>
      <c r="BZ30" s="99"/>
      <c r="CA30" s="99"/>
      <c r="CB30" s="99"/>
      <c r="CC30" s="116"/>
      <c r="CD30" s="80"/>
      <c r="CE30" s="20"/>
      <c r="CF30" s="20"/>
      <c r="CG30" s="20"/>
      <c r="CH30" s="20"/>
      <c r="CI30" s="20"/>
      <c r="CJ30" s="20"/>
      <c r="CK30" s="20"/>
      <c r="CL30" s="20"/>
      <c r="CM30" s="20"/>
      <c r="CN30" s="20"/>
      <c r="CO30" s="20"/>
      <c r="CP30" s="20"/>
      <c r="CQ30" s="20"/>
      <c r="CR30" s="20"/>
      <c r="CS30" s="20"/>
      <c r="CT30" s="20"/>
      <c r="CU30" s="20"/>
      <c r="CV30" s="20"/>
      <c r="CW30" s="81"/>
      <c r="CX30" s="80"/>
      <c r="CY30" s="20"/>
      <c r="CZ30" s="20"/>
      <c r="DA30" s="20"/>
      <c r="DB30" s="20"/>
      <c r="DC30" s="20"/>
      <c r="DD30" s="20"/>
      <c r="DE30" s="20"/>
      <c r="DF30" s="20"/>
      <c r="DG30" s="20"/>
      <c r="DH30" s="20"/>
      <c r="DI30" s="20"/>
      <c r="DJ30" s="20"/>
      <c r="DK30" s="20"/>
      <c r="DL30" s="20"/>
      <c r="DM30" s="20"/>
      <c r="DN30" s="20"/>
      <c r="DO30" s="20"/>
      <c r="DP30" s="20"/>
      <c r="DQ30" s="81"/>
    </row>
    <row r="31" spans="1:121" ht="30" customHeight="1" x14ac:dyDescent="0.35">
      <c r="A31" s="113" t="s">
        <v>478</v>
      </c>
      <c r="B31" s="86"/>
      <c r="C31" s="87"/>
      <c r="D31" s="87"/>
      <c r="E31" s="87"/>
      <c r="F31" s="88"/>
      <c r="G31" s="88"/>
      <c r="H31" s="20"/>
      <c r="I31" s="20"/>
      <c r="J31" s="20"/>
      <c r="K31" s="81"/>
      <c r="L31" s="80"/>
      <c r="M31" s="20"/>
      <c r="N31" s="20"/>
      <c r="O31" s="20"/>
      <c r="P31" s="20"/>
      <c r="Q31" s="20"/>
      <c r="R31" s="20"/>
      <c r="S31" s="20"/>
      <c r="T31" s="20"/>
      <c r="U31" s="20"/>
      <c r="V31" s="20"/>
      <c r="W31" s="20"/>
      <c r="X31" s="20"/>
      <c r="Y31" s="20"/>
      <c r="Z31" s="20"/>
      <c r="AA31" s="20"/>
      <c r="AB31" s="20"/>
      <c r="AC31" s="20"/>
      <c r="AD31" s="20"/>
      <c r="AE31" s="81"/>
      <c r="AF31" s="80"/>
      <c r="AG31" s="20"/>
      <c r="AH31" s="20"/>
      <c r="AI31" s="20"/>
      <c r="AJ31" s="20"/>
      <c r="AK31" s="20"/>
      <c r="AL31" s="20"/>
      <c r="AM31" s="20"/>
      <c r="AN31" s="20"/>
      <c r="AO31" s="20"/>
      <c r="AP31" s="20"/>
      <c r="AQ31" s="20"/>
      <c r="AR31" s="20"/>
      <c r="AS31" s="20"/>
      <c r="AT31" s="20"/>
      <c r="AU31" s="20"/>
      <c r="AV31" s="20"/>
      <c r="AW31" s="20"/>
      <c r="AX31" s="20"/>
      <c r="AY31" s="81"/>
      <c r="AZ31" s="80"/>
      <c r="BA31" s="20"/>
      <c r="BB31" s="20"/>
      <c r="BC31" s="20"/>
      <c r="BD31" s="20"/>
      <c r="BE31" s="20"/>
      <c r="BF31" s="20"/>
      <c r="BG31" s="20"/>
      <c r="BH31" s="20"/>
      <c r="BI31" s="81"/>
      <c r="BJ31" s="80"/>
      <c r="BK31" s="20"/>
      <c r="BL31" s="20"/>
      <c r="BM31" s="20"/>
      <c r="BN31" s="20"/>
      <c r="BO31" s="20"/>
      <c r="BP31" s="20"/>
      <c r="BQ31" s="20"/>
      <c r="BR31" s="20"/>
      <c r="BS31" s="20"/>
      <c r="BT31" s="20"/>
      <c r="BU31" s="20"/>
      <c r="BV31" s="20"/>
      <c r="BW31" s="20"/>
      <c r="BX31" s="20"/>
      <c r="BY31" s="20"/>
      <c r="BZ31" s="20"/>
      <c r="CA31" s="20"/>
      <c r="CB31" s="20"/>
      <c r="CC31" s="81"/>
      <c r="CD31" s="100"/>
      <c r="CE31" s="101"/>
      <c r="CF31" s="101"/>
      <c r="CG31" s="101"/>
      <c r="CH31" s="101"/>
      <c r="CI31" s="101"/>
      <c r="CJ31" s="101"/>
      <c r="CK31" s="101"/>
      <c r="CL31" s="101"/>
      <c r="CM31" s="101"/>
      <c r="CN31" s="101"/>
      <c r="CO31" s="101"/>
      <c r="CP31" s="101"/>
      <c r="CQ31" s="101"/>
      <c r="CR31" s="101"/>
      <c r="CS31" s="101"/>
      <c r="CT31" s="101"/>
      <c r="CU31" s="101"/>
      <c r="CV31" s="101"/>
      <c r="CW31" s="102"/>
      <c r="CX31" s="80"/>
      <c r="CY31" s="20"/>
      <c r="CZ31" s="20"/>
      <c r="DA31" s="20"/>
      <c r="DB31" s="20"/>
      <c r="DC31" s="20"/>
      <c r="DD31" s="20"/>
      <c r="DE31" s="20"/>
      <c r="DF31" s="20"/>
      <c r="DG31" s="20"/>
      <c r="DH31" s="20"/>
      <c r="DI31" s="20"/>
      <c r="DJ31" s="20"/>
      <c r="DK31" s="20"/>
      <c r="DL31" s="20"/>
      <c r="DM31" s="20"/>
      <c r="DN31" s="20"/>
      <c r="DO31" s="20"/>
      <c r="DP31" s="20"/>
      <c r="DQ31" s="81"/>
    </row>
    <row r="32" spans="1:121" ht="30" customHeight="1" x14ac:dyDescent="0.35">
      <c r="A32" s="114" t="s">
        <v>479</v>
      </c>
      <c r="B32" s="118" t="s">
        <v>448</v>
      </c>
      <c r="C32" s="105"/>
      <c r="D32" s="105"/>
      <c r="E32" s="105"/>
      <c r="F32" s="105"/>
      <c r="G32" s="105"/>
      <c r="H32" s="105"/>
      <c r="I32" s="105"/>
      <c r="J32" s="105"/>
      <c r="K32" s="106"/>
      <c r="L32" s="104"/>
      <c r="M32" s="105"/>
      <c r="N32" s="105"/>
      <c r="O32" s="105"/>
      <c r="P32" s="105"/>
      <c r="Q32" s="105"/>
      <c r="R32" s="105"/>
      <c r="S32" s="105"/>
      <c r="T32" s="107"/>
      <c r="U32" s="107"/>
      <c r="V32" s="107"/>
      <c r="W32" s="107"/>
      <c r="X32" s="107"/>
      <c r="Y32" s="107"/>
      <c r="Z32" s="107"/>
      <c r="AA32" s="107"/>
      <c r="AB32" s="107"/>
      <c r="AC32" s="107"/>
      <c r="AD32" s="107"/>
      <c r="AE32" s="108"/>
      <c r="AF32" s="109"/>
      <c r="AG32" s="107"/>
      <c r="AH32" s="107"/>
      <c r="AI32" s="107"/>
      <c r="AJ32" s="107"/>
      <c r="AK32" s="107"/>
      <c r="AL32" s="107"/>
      <c r="AM32" s="107"/>
      <c r="AN32" s="107"/>
      <c r="AO32" s="107"/>
      <c r="AP32" s="107"/>
      <c r="AQ32" s="107"/>
      <c r="AR32" s="107"/>
      <c r="AS32" s="107"/>
      <c r="AT32" s="107"/>
      <c r="AU32" s="107"/>
      <c r="AV32" s="107"/>
      <c r="AW32" s="107"/>
      <c r="AX32" s="107"/>
      <c r="AY32" s="108"/>
      <c r="AZ32" s="109"/>
      <c r="BA32" s="107"/>
      <c r="BB32" s="107"/>
      <c r="BC32" s="107"/>
      <c r="BD32" s="107"/>
      <c r="BE32" s="107"/>
      <c r="BF32" s="107"/>
      <c r="BG32" s="107"/>
      <c r="BH32" s="107"/>
      <c r="BI32" s="108"/>
      <c r="BJ32" s="109"/>
      <c r="BK32" s="107"/>
      <c r="BL32" s="107"/>
      <c r="BM32" s="107"/>
      <c r="BN32" s="107"/>
      <c r="BO32" s="107"/>
      <c r="BP32" s="107"/>
      <c r="BQ32" s="107"/>
      <c r="BR32" s="107"/>
      <c r="BS32" s="107"/>
      <c r="BT32" s="107"/>
      <c r="BU32" s="107"/>
      <c r="BV32" s="107"/>
      <c r="BW32" s="107"/>
      <c r="BX32" s="107"/>
      <c r="BY32" s="107"/>
      <c r="BZ32" s="107"/>
      <c r="CA32" s="107"/>
      <c r="CB32" s="107"/>
      <c r="CC32" s="108"/>
      <c r="CD32" s="109"/>
      <c r="CE32" s="107"/>
      <c r="CF32" s="107"/>
      <c r="CG32" s="107"/>
      <c r="CH32" s="107"/>
      <c r="CI32" s="107"/>
      <c r="CJ32" s="107"/>
      <c r="CK32" s="107"/>
      <c r="CL32" s="107"/>
      <c r="CM32" s="107"/>
      <c r="CN32" s="107"/>
      <c r="CO32" s="107"/>
      <c r="CP32" s="107"/>
      <c r="CQ32" s="107"/>
      <c r="CR32" s="107"/>
      <c r="CS32" s="107"/>
      <c r="CT32" s="107"/>
      <c r="CU32" s="107"/>
      <c r="CV32" s="107"/>
      <c r="CW32" s="108"/>
      <c r="CX32" s="119"/>
      <c r="CY32" s="110"/>
      <c r="CZ32" s="110"/>
      <c r="DA32" s="110"/>
      <c r="DB32" s="110"/>
      <c r="DC32" s="110"/>
      <c r="DD32" s="110"/>
      <c r="DE32" s="110"/>
      <c r="DF32" s="110"/>
      <c r="DG32" s="110"/>
      <c r="DH32" s="110"/>
      <c r="DI32" s="110"/>
      <c r="DJ32" s="110"/>
      <c r="DK32" s="103"/>
      <c r="DL32" s="103"/>
      <c r="DM32" s="103"/>
      <c r="DN32" s="103"/>
      <c r="DO32" s="103"/>
      <c r="DP32" s="103"/>
      <c r="DQ32" s="117"/>
    </row>
    <row r="33" spans="1:7" x14ac:dyDescent="0.3">
      <c r="B33" s="65"/>
      <c r="C33" s="65"/>
      <c r="D33" s="65"/>
      <c r="E33" s="65"/>
      <c r="F33" s="71"/>
      <c r="G33" s="71"/>
    </row>
    <row r="34" spans="1:7" x14ac:dyDescent="0.3">
      <c r="A34" s="72"/>
      <c r="B34" s="65"/>
      <c r="C34" s="65"/>
      <c r="D34" s="65"/>
      <c r="E34" s="65"/>
      <c r="F34" s="71"/>
      <c r="G34" s="71"/>
    </row>
    <row r="35" spans="1:7" x14ac:dyDescent="0.3">
      <c r="A35" s="72"/>
      <c r="B35" s="65"/>
      <c r="C35" s="65"/>
      <c r="D35" s="65"/>
      <c r="E35" s="65"/>
      <c r="F35" s="71"/>
      <c r="G35" s="71"/>
    </row>
    <row r="36" spans="1:7" x14ac:dyDescent="0.3">
      <c r="B36" s="65"/>
      <c r="C36" s="65"/>
      <c r="D36" s="65"/>
      <c r="E36" s="65"/>
      <c r="F36" s="71"/>
      <c r="G36" s="71"/>
    </row>
  </sheetData>
  <mergeCells count="7">
    <mergeCell ref="B25:K25"/>
    <mergeCell ref="BJ25:CC25"/>
    <mergeCell ref="CD25:CW25"/>
    <mergeCell ref="CX25:DQ25"/>
    <mergeCell ref="L25:AE25"/>
    <mergeCell ref="AF25:AY25"/>
    <mergeCell ref="AZ25:BI25"/>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D252-3AEF-411D-93CE-5E84A4ED4250}">
  <dimension ref="A8:E76"/>
  <sheetViews>
    <sheetView topLeftCell="A5" zoomScale="70" zoomScaleNormal="70" workbookViewId="0">
      <selection activeCell="H24" sqref="H24"/>
    </sheetView>
  </sheetViews>
  <sheetFormatPr baseColWidth="10" defaultRowHeight="15.6" x14ac:dyDescent="0.3"/>
  <cols>
    <col min="1" max="1" width="10.21875" style="27" customWidth="1"/>
    <col min="2" max="2" width="104.44140625" style="27" customWidth="1"/>
    <col min="3" max="3" width="95.5546875" style="27" customWidth="1"/>
    <col min="4" max="4" width="22.88671875" style="29" customWidth="1"/>
    <col min="5" max="16384" width="11.5546875" style="27"/>
  </cols>
  <sheetData>
    <row r="8" ht="19.95" customHeight="1" x14ac:dyDescent="0.3"/>
    <row r="9" ht="19.95" customHeight="1" x14ac:dyDescent="0.3"/>
    <row r="10" ht="19.95" customHeight="1" x14ac:dyDescent="0.3"/>
    <row r="11" ht="19.95" customHeight="1" x14ac:dyDescent="0.3"/>
    <row r="12" ht="19.95" customHeight="1" x14ac:dyDescent="0.3"/>
    <row r="13" ht="19.95" customHeight="1" x14ac:dyDescent="0.3"/>
    <row r="14" ht="19.95" customHeight="1" x14ac:dyDescent="0.3"/>
    <row r="15" ht="19.95" customHeight="1" x14ac:dyDescent="0.3"/>
    <row r="16" ht="19.95" customHeight="1" x14ac:dyDescent="0.3"/>
    <row r="17" spans="1:5" ht="19.95" customHeight="1" x14ac:dyDescent="0.3"/>
    <row r="18" spans="1:5" ht="19.95" customHeight="1" x14ac:dyDescent="0.3"/>
    <row r="19" spans="1:5" ht="19.95" customHeight="1" x14ac:dyDescent="0.3"/>
    <row r="20" spans="1:5" ht="19.95" customHeight="1" x14ac:dyDescent="0.3"/>
    <row r="21" spans="1:5" ht="51.6" x14ac:dyDescent="0.3">
      <c r="A21" s="56" t="s">
        <v>0</v>
      </c>
      <c r="B21" s="56" t="s">
        <v>1</v>
      </c>
      <c r="C21" s="56" t="s">
        <v>2</v>
      </c>
      <c r="D21" s="56" t="s">
        <v>3</v>
      </c>
      <c r="E21" s="57" t="s">
        <v>184</v>
      </c>
    </row>
    <row r="22" spans="1:5" ht="22.05" customHeight="1" x14ac:dyDescent="0.3">
      <c r="A22" s="131" t="s">
        <v>4</v>
      </c>
      <c r="B22" s="131" t="s">
        <v>5</v>
      </c>
      <c r="C22" s="55" t="s">
        <v>257</v>
      </c>
      <c r="D22" s="132" t="s">
        <v>6</v>
      </c>
      <c r="E22" s="137">
        <v>2</v>
      </c>
    </row>
    <row r="23" spans="1:5" ht="22.05" customHeight="1" x14ac:dyDescent="0.3">
      <c r="A23" s="131"/>
      <c r="B23" s="131"/>
      <c r="C23" s="55" t="s">
        <v>258</v>
      </c>
      <c r="D23" s="133"/>
      <c r="E23" s="137"/>
    </row>
    <row r="24" spans="1:5" ht="22.05" customHeight="1" x14ac:dyDescent="0.3">
      <c r="A24" s="131"/>
      <c r="B24" s="131"/>
      <c r="C24" s="55" t="s">
        <v>259</v>
      </c>
      <c r="D24" s="134"/>
      <c r="E24" s="137"/>
    </row>
    <row r="25" spans="1:5" ht="22.05" customHeight="1" x14ac:dyDescent="0.3">
      <c r="A25" s="131" t="s">
        <v>7</v>
      </c>
      <c r="B25" s="131" t="s">
        <v>8</v>
      </c>
      <c r="C25" s="55" t="s">
        <v>260</v>
      </c>
      <c r="D25" s="132" t="s">
        <v>6</v>
      </c>
      <c r="E25" s="137">
        <v>2</v>
      </c>
    </row>
    <row r="26" spans="1:5" ht="22.05" customHeight="1" x14ac:dyDescent="0.3">
      <c r="A26" s="131"/>
      <c r="B26" s="131"/>
      <c r="C26" s="55" t="s">
        <v>272</v>
      </c>
      <c r="D26" s="133"/>
      <c r="E26" s="137"/>
    </row>
    <row r="27" spans="1:5" ht="22.05" customHeight="1" x14ac:dyDescent="0.3">
      <c r="A27" s="131"/>
      <c r="B27" s="131"/>
      <c r="C27" s="55" t="s">
        <v>261</v>
      </c>
      <c r="D27" s="134"/>
      <c r="E27" s="137"/>
    </row>
    <row r="28" spans="1:5" ht="22.05" customHeight="1" x14ac:dyDescent="0.3">
      <c r="A28" s="132" t="s">
        <v>9</v>
      </c>
      <c r="B28" s="141" t="s">
        <v>404</v>
      </c>
      <c r="C28" s="55" t="s">
        <v>419</v>
      </c>
      <c r="D28" s="132" t="s">
        <v>6</v>
      </c>
      <c r="E28" s="137">
        <v>2</v>
      </c>
    </row>
    <row r="29" spans="1:5" ht="22.05" customHeight="1" x14ac:dyDescent="0.3">
      <c r="A29" s="133"/>
      <c r="B29" s="142"/>
      <c r="C29" s="55" t="s">
        <v>420</v>
      </c>
      <c r="D29" s="133"/>
      <c r="E29" s="137"/>
    </row>
    <row r="30" spans="1:5" ht="22.05" customHeight="1" x14ac:dyDescent="0.3">
      <c r="A30" s="134"/>
      <c r="B30" s="143"/>
      <c r="C30" s="55" t="s">
        <v>421</v>
      </c>
      <c r="D30" s="134"/>
      <c r="E30" s="137"/>
    </row>
    <row r="31" spans="1:5" ht="22.05" customHeight="1" x14ac:dyDescent="0.3">
      <c r="A31" s="131" t="s">
        <v>10</v>
      </c>
      <c r="B31" s="131" t="s">
        <v>405</v>
      </c>
      <c r="C31" s="55" t="s">
        <v>262</v>
      </c>
      <c r="D31" s="132" t="s">
        <v>6</v>
      </c>
      <c r="E31" s="137">
        <v>8</v>
      </c>
    </row>
    <row r="32" spans="1:5" ht="22.05" customHeight="1" x14ac:dyDescent="0.3">
      <c r="A32" s="131"/>
      <c r="B32" s="131"/>
      <c r="C32" s="55" t="s">
        <v>273</v>
      </c>
      <c r="D32" s="133"/>
      <c r="E32" s="137"/>
    </row>
    <row r="33" spans="1:5" ht="22.05" customHeight="1" x14ac:dyDescent="0.3">
      <c r="A33" s="131"/>
      <c r="B33" s="131"/>
      <c r="C33" s="55" t="s">
        <v>439</v>
      </c>
      <c r="D33" s="134"/>
      <c r="E33" s="137"/>
    </row>
    <row r="34" spans="1:5" ht="22.05" customHeight="1" x14ac:dyDescent="0.3">
      <c r="A34" s="131" t="s">
        <v>12</v>
      </c>
      <c r="B34" s="131" t="s">
        <v>11</v>
      </c>
      <c r="C34" s="55" t="s">
        <v>275</v>
      </c>
      <c r="D34" s="132" t="s">
        <v>6</v>
      </c>
      <c r="E34" s="137">
        <v>13</v>
      </c>
    </row>
    <row r="35" spans="1:5" ht="22.05" customHeight="1" x14ac:dyDescent="0.3">
      <c r="A35" s="131"/>
      <c r="B35" s="131"/>
      <c r="C35" s="55" t="s">
        <v>274</v>
      </c>
      <c r="D35" s="133"/>
      <c r="E35" s="137"/>
    </row>
    <row r="36" spans="1:5" ht="22.05" customHeight="1" x14ac:dyDescent="0.3">
      <c r="A36" s="131" t="s">
        <v>14</v>
      </c>
      <c r="B36" s="131" t="s">
        <v>13</v>
      </c>
      <c r="C36" s="55" t="s">
        <v>271</v>
      </c>
      <c r="D36" s="132" t="s">
        <v>6</v>
      </c>
      <c r="E36" s="137">
        <v>13</v>
      </c>
    </row>
    <row r="37" spans="1:5" ht="22.05" customHeight="1" x14ac:dyDescent="0.3">
      <c r="A37" s="131"/>
      <c r="B37" s="131"/>
      <c r="C37" s="55" t="s">
        <v>276</v>
      </c>
      <c r="D37" s="134"/>
      <c r="E37" s="137"/>
    </row>
    <row r="38" spans="1:5" ht="22.05" customHeight="1" x14ac:dyDescent="0.3">
      <c r="A38" s="131" t="s">
        <v>17</v>
      </c>
      <c r="B38" s="131" t="s">
        <v>15</v>
      </c>
      <c r="C38" s="55" t="s">
        <v>270</v>
      </c>
      <c r="D38" s="132" t="s">
        <v>16</v>
      </c>
      <c r="E38" s="137">
        <v>5</v>
      </c>
    </row>
    <row r="39" spans="1:5" ht="22.05" customHeight="1" x14ac:dyDescent="0.3">
      <c r="A39" s="131"/>
      <c r="B39" s="131"/>
      <c r="C39" s="55" t="s">
        <v>496</v>
      </c>
      <c r="D39" s="134"/>
      <c r="E39" s="137"/>
    </row>
    <row r="40" spans="1:5" ht="21.6" customHeight="1" x14ac:dyDescent="0.3">
      <c r="A40" s="131" t="s">
        <v>19</v>
      </c>
      <c r="B40" s="131" t="s">
        <v>18</v>
      </c>
      <c r="C40" s="55" t="s">
        <v>269</v>
      </c>
      <c r="D40" s="132" t="s">
        <v>23</v>
      </c>
      <c r="E40" s="137">
        <v>2</v>
      </c>
    </row>
    <row r="41" spans="1:5" ht="21.6" customHeight="1" x14ac:dyDescent="0.3">
      <c r="A41" s="131"/>
      <c r="B41" s="131"/>
      <c r="C41" s="55" t="s">
        <v>268</v>
      </c>
      <c r="D41" s="133"/>
      <c r="E41" s="137"/>
    </row>
    <row r="42" spans="1:5" ht="22.05" customHeight="1" x14ac:dyDescent="0.3">
      <c r="A42" s="131"/>
      <c r="B42" s="131"/>
      <c r="C42" s="55" t="s">
        <v>497</v>
      </c>
      <c r="D42" s="134"/>
      <c r="E42" s="137"/>
    </row>
    <row r="43" spans="1:5" ht="22.05" customHeight="1" x14ac:dyDescent="0.3">
      <c r="A43" s="131" t="s">
        <v>21</v>
      </c>
      <c r="B43" s="131" t="s">
        <v>20</v>
      </c>
      <c r="C43" s="55" t="s">
        <v>255</v>
      </c>
      <c r="D43" s="132" t="s">
        <v>23</v>
      </c>
      <c r="E43" s="137">
        <v>2</v>
      </c>
    </row>
    <row r="44" spans="1:5" ht="22.05" customHeight="1" x14ac:dyDescent="0.3">
      <c r="A44" s="131"/>
      <c r="B44" s="131"/>
      <c r="C44" s="55" t="s">
        <v>441</v>
      </c>
      <c r="D44" s="133"/>
      <c r="E44" s="137"/>
    </row>
    <row r="45" spans="1:5" ht="21.6" customHeight="1" x14ac:dyDescent="0.3">
      <c r="A45" s="131"/>
      <c r="B45" s="131"/>
      <c r="C45" s="55" t="s">
        <v>440</v>
      </c>
      <c r="D45" s="134"/>
      <c r="E45" s="137"/>
    </row>
    <row r="46" spans="1:5" ht="22.05" customHeight="1" x14ac:dyDescent="0.3">
      <c r="A46" s="131" t="s">
        <v>468</v>
      </c>
      <c r="B46" s="131" t="s">
        <v>22</v>
      </c>
      <c r="C46" s="55" t="s">
        <v>498</v>
      </c>
      <c r="D46" s="132" t="s">
        <v>23</v>
      </c>
      <c r="E46" s="137">
        <v>2</v>
      </c>
    </row>
    <row r="47" spans="1:5" ht="22.05" customHeight="1" x14ac:dyDescent="0.3">
      <c r="A47" s="131"/>
      <c r="B47" s="131"/>
      <c r="C47" s="55" t="s">
        <v>256</v>
      </c>
      <c r="D47" s="134"/>
      <c r="E47" s="137"/>
    </row>
    <row r="48" spans="1:5" ht="19.8" x14ac:dyDescent="0.3">
      <c r="A48" s="131" t="s">
        <v>25</v>
      </c>
      <c r="B48" s="135" t="s">
        <v>423</v>
      </c>
      <c r="C48" s="68" t="s">
        <v>425</v>
      </c>
      <c r="D48" s="136" t="s">
        <v>23</v>
      </c>
      <c r="E48" s="136">
        <v>8</v>
      </c>
    </row>
    <row r="49" spans="1:5" ht="19.8" x14ac:dyDescent="0.3">
      <c r="A49" s="131"/>
      <c r="B49" s="135"/>
      <c r="C49" s="68" t="s">
        <v>438</v>
      </c>
      <c r="D49" s="136"/>
      <c r="E49" s="136"/>
    </row>
    <row r="50" spans="1:5" ht="19.8" x14ac:dyDescent="0.3">
      <c r="A50" s="131" t="s">
        <v>27</v>
      </c>
      <c r="B50" s="135" t="s">
        <v>436</v>
      </c>
      <c r="C50" s="68" t="s">
        <v>426</v>
      </c>
      <c r="D50" s="136" t="s">
        <v>23</v>
      </c>
      <c r="E50" s="136">
        <v>3</v>
      </c>
    </row>
    <row r="51" spans="1:5" ht="19.8" x14ac:dyDescent="0.3">
      <c r="A51" s="131"/>
      <c r="B51" s="135"/>
      <c r="C51" s="68" t="s">
        <v>429</v>
      </c>
      <c r="D51" s="136"/>
      <c r="E51" s="136"/>
    </row>
    <row r="52" spans="1:5" ht="19.8" x14ac:dyDescent="0.3">
      <c r="A52" s="131"/>
      <c r="B52" s="135"/>
      <c r="C52" s="68" t="s">
        <v>437</v>
      </c>
      <c r="D52" s="136"/>
      <c r="E52" s="136"/>
    </row>
    <row r="53" spans="1:5" ht="19.8" x14ac:dyDescent="0.3">
      <c r="A53" s="131" t="s">
        <v>430</v>
      </c>
      <c r="B53" s="135" t="s">
        <v>432</v>
      </c>
      <c r="C53" s="68" t="s">
        <v>427</v>
      </c>
      <c r="D53" s="136" t="s">
        <v>23</v>
      </c>
      <c r="E53" s="136">
        <v>3</v>
      </c>
    </row>
    <row r="54" spans="1:5" ht="19.8" x14ac:dyDescent="0.3">
      <c r="A54" s="131"/>
      <c r="B54" s="135"/>
      <c r="C54" s="68" t="s">
        <v>428</v>
      </c>
      <c r="D54" s="136"/>
      <c r="E54" s="136"/>
    </row>
    <row r="55" spans="1:5" ht="19.8" x14ac:dyDescent="0.3">
      <c r="A55" s="131" t="s">
        <v>422</v>
      </c>
      <c r="B55" s="131" t="s">
        <v>24</v>
      </c>
      <c r="C55" s="55" t="s">
        <v>254</v>
      </c>
      <c r="D55" s="132" t="s">
        <v>16</v>
      </c>
      <c r="E55" s="137">
        <v>3</v>
      </c>
    </row>
    <row r="56" spans="1:5" ht="19.8" x14ac:dyDescent="0.3">
      <c r="A56" s="131"/>
      <c r="B56" s="131"/>
      <c r="C56" s="55" t="s">
        <v>267</v>
      </c>
      <c r="D56" s="133"/>
      <c r="E56" s="137"/>
    </row>
    <row r="57" spans="1:5" ht="19.8" x14ac:dyDescent="0.3">
      <c r="A57" s="131"/>
      <c r="B57" s="131"/>
      <c r="C57" s="55" t="s">
        <v>266</v>
      </c>
      <c r="D57" s="134"/>
      <c r="E57" s="137"/>
    </row>
    <row r="58" spans="1:5" ht="19.8" x14ac:dyDescent="0.3">
      <c r="A58" s="131" t="s">
        <v>424</v>
      </c>
      <c r="B58" s="131" t="s">
        <v>26</v>
      </c>
      <c r="C58" s="55" t="s">
        <v>265</v>
      </c>
      <c r="D58" s="132" t="s">
        <v>6</v>
      </c>
      <c r="E58" s="137">
        <v>5</v>
      </c>
    </row>
    <row r="59" spans="1:5" ht="19.8" x14ac:dyDescent="0.3">
      <c r="A59" s="131"/>
      <c r="B59" s="131"/>
      <c r="C59" s="55" t="s">
        <v>264</v>
      </c>
      <c r="D59" s="133"/>
      <c r="E59" s="137"/>
    </row>
    <row r="60" spans="1:5" ht="19.8" x14ac:dyDescent="0.3">
      <c r="A60" s="131"/>
      <c r="B60" s="131"/>
      <c r="C60" s="55" t="s">
        <v>442</v>
      </c>
      <c r="D60" s="133"/>
      <c r="E60" s="137"/>
    </row>
    <row r="61" spans="1:5" ht="19.8" x14ac:dyDescent="0.3">
      <c r="A61" s="131"/>
      <c r="B61" s="131"/>
      <c r="C61" s="55" t="s">
        <v>443</v>
      </c>
      <c r="D61" s="134"/>
      <c r="E61" s="137"/>
    </row>
    <row r="62" spans="1:5" ht="19.8" x14ac:dyDescent="0.3">
      <c r="A62" s="131" t="s">
        <v>469</v>
      </c>
      <c r="B62" s="131" t="s">
        <v>28</v>
      </c>
      <c r="C62" s="55" t="s">
        <v>444</v>
      </c>
      <c r="D62" s="132" t="s">
        <v>6</v>
      </c>
      <c r="E62" s="138">
        <v>5</v>
      </c>
    </row>
    <row r="63" spans="1:5" ht="19.8" x14ac:dyDescent="0.3">
      <c r="A63" s="131"/>
      <c r="B63" s="131"/>
      <c r="C63" s="55" t="s">
        <v>445</v>
      </c>
      <c r="D63" s="133"/>
      <c r="E63" s="139"/>
    </row>
    <row r="64" spans="1:5" ht="19.8" x14ac:dyDescent="0.3">
      <c r="A64" s="131"/>
      <c r="B64" s="131"/>
      <c r="C64" s="55" t="s">
        <v>263</v>
      </c>
      <c r="D64" s="133"/>
      <c r="E64" s="139"/>
    </row>
    <row r="65" spans="1:5" ht="19.8" x14ac:dyDescent="0.3">
      <c r="A65" s="131"/>
      <c r="B65" s="131"/>
      <c r="C65" s="55" t="s">
        <v>446</v>
      </c>
      <c r="D65" s="133"/>
      <c r="E65" s="139"/>
    </row>
    <row r="66" spans="1:5" ht="19.8" x14ac:dyDescent="0.3">
      <c r="A66" s="131"/>
      <c r="B66" s="131"/>
      <c r="C66" s="55" t="s">
        <v>447</v>
      </c>
      <c r="D66" s="134"/>
      <c r="E66" s="140"/>
    </row>
    <row r="67" spans="1:5" ht="22.05" customHeight="1" x14ac:dyDescent="0.3">
      <c r="D67" s="27"/>
    </row>
    <row r="68" spans="1:5" ht="22.05" customHeight="1" x14ac:dyDescent="0.3">
      <c r="D68" s="27"/>
    </row>
    <row r="69" spans="1:5" ht="22.05" customHeight="1" x14ac:dyDescent="0.3">
      <c r="D69" s="27"/>
    </row>
    <row r="70" spans="1:5" ht="21.6" customHeight="1" x14ac:dyDescent="0.3">
      <c r="D70" s="27"/>
    </row>
    <row r="71" spans="1:5" ht="21.6" customHeight="1" x14ac:dyDescent="0.3">
      <c r="D71" s="27"/>
    </row>
    <row r="72" spans="1:5" ht="21.6" customHeight="1" x14ac:dyDescent="0.3">
      <c r="D72" s="27"/>
    </row>
    <row r="73" spans="1:5" ht="21.6" customHeight="1" x14ac:dyDescent="0.3">
      <c r="D73" s="27"/>
    </row>
    <row r="74" spans="1:5" ht="21.6" customHeight="1" x14ac:dyDescent="0.3">
      <c r="D74" s="27"/>
    </row>
    <row r="75" spans="1:5" ht="21.6" customHeight="1" x14ac:dyDescent="0.3">
      <c r="D75" s="27"/>
    </row>
    <row r="76" spans="1:5" ht="32.4" customHeight="1" x14ac:dyDescent="0.3">
      <c r="D76" s="27"/>
    </row>
  </sheetData>
  <mergeCells count="64">
    <mergeCell ref="E62:E66"/>
    <mergeCell ref="A28:A30"/>
    <mergeCell ref="B28:B30"/>
    <mergeCell ref="D28:D30"/>
    <mergeCell ref="E28:E30"/>
    <mergeCell ref="E58:E61"/>
    <mergeCell ref="E36:E37"/>
    <mergeCell ref="E38:E39"/>
    <mergeCell ref="E40:E42"/>
    <mergeCell ref="E43:E45"/>
    <mergeCell ref="E46:E47"/>
    <mergeCell ref="A31:A33"/>
    <mergeCell ref="B31:B33"/>
    <mergeCell ref="D31:D33"/>
    <mergeCell ref="A34:A35"/>
    <mergeCell ref="B34:B35"/>
    <mergeCell ref="E22:E24"/>
    <mergeCell ref="E25:E27"/>
    <mergeCell ref="E31:E33"/>
    <mergeCell ref="E34:E35"/>
    <mergeCell ref="E55:E57"/>
    <mergeCell ref="E53:E54"/>
    <mergeCell ref="E48:E49"/>
    <mergeCell ref="E50:E52"/>
    <mergeCell ref="A22:A24"/>
    <mergeCell ref="B22:B24"/>
    <mergeCell ref="D22:D24"/>
    <mergeCell ref="A25:A27"/>
    <mergeCell ref="B25:B27"/>
    <mergeCell ref="D25:D27"/>
    <mergeCell ref="D34:D35"/>
    <mergeCell ref="D36:D37"/>
    <mergeCell ref="D43:D45"/>
    <mergeCell ref="D40:D42"/>
    <mergeCell ref="D38:D39"/>
    <mergeCell ref="A43:A45"/>
    <mergeCell ref="B43:B45"/>
    <mergeCell ref="A36:A37"/>
    <mergeCell ref="B36:B37"/>
    <mergeCell ref="A38:A39"/>
    <mergeCell ref="B38:B39"/>
    <mergeCell ref="A40:A42"/>
    <mergeCell ref="B40:B42"/>
    <mergeCell ref="A46:A47"/>
    <mergeCell ref="B46:B47"/>
    <mergeCell ref="D55:D57"/>
    <mergeCell ref="D46:D47"/>
    <mergeCell ref="A55:A57"/>
    <mergeCell ref="B55:B57"/>
    <mergeCell ref="A53:A54"/>
    <mergeCell ref="B53:B54"/>
    <mergeCell ref="D53:D54"/>
    <mergeCell ref="A48:A49"/>
    <mergeCell ref="B48:B49"/>
    <mergeCell ref="D48:D49"/>
    <mergeCell ref="A50:A52"/>
    <mergeCell ref="B50:B52"/>
    <mergeCell ref="D50:D52"/>
    <mergeCell ref="A58:A61"/>
    <mergeCell ref="B58:B61"/>
    <mergeCell ref="D62:D66"/>
    <mergeCell ref="D58:D61"/>
    <mergeCell ref="A62:A66"/>
    <mergeCell ref="B62:B66"/>
  </mergeCells>
  <conditionalFormatting sqref="E21 D21:D28 D31:D36 D38 D40:D41 D43:D44 D46 D48:D66 D77:D1048576">
    <cfRule type="cellIs" dxfId="14" priority="1" operator="equal">
      <formula>"Could"</formula>
    </cfRule>
    <cfRule type="cellIs" dxfId="13" priority="2" operator="equal">
      <formula>"Should"</formula>
    </cfRule>
    <cfRule type="cellIs" dxfId="12" priority="3" operator="equal">
      <formula>"Should"</formula>
    </cfRule>
    <cfRule type="cellIs" dxfId="11" priority="4" operator="equal">
      <formula>"Must"</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3200-C765-4D73-B36E-379B7B5EEBF2}">
  <dimension ref="A1:P176"/>
  <sheetViews>
    <sheetView tabSelected="1" zoomScale="47" zoomScaleNormal="70" workbookViewId="0">
      <selection activeCell="J25" sqref="J25"/>
    </sheetView>
  </sheetViews>
  <sheetFormatPr baseColWidth="10" defaultRowHeight="14.4" x14ac:dyDescent="0.3"/>
  <cols>
    <col min="1" max="1" width="19.88671875" customWidth="1"/>
    <col min="2" max="2" width="29" customWidth="1"/>
    <col min="3" max="3" width="43.33203125" style="71" customWidth="1"/>
    <col min="4" max="4" width="25" style="71" customWidth="1"/>
    <col min="5" max="5" width="71.77734375" style="71" customWidth="1"/>
    <col min="6" max="6" width="35.109375" style="71" customWidth="1"/>
    <col min="7" max="7" width="43.33203125" customWidth="1"/>
    <col min="9" max="10" width="11.5546875" style="71"/>
    <col min="11" max="14" width="1.77734375" style="65" customWidth="1"/>
    <col min="15" max="16" width="1.77734375" style="71" customWidth="1"/>
    <col min="17" max="132" width="1.77734375" customWidth="1"/>
  </cols>
  <sheetData>
    <row r="1" spans="1:7" ht="25.05" customHeight="1" x14ac:dyDescent="0.3"/>
    <row r="2" spans="1:7" ht="25.05" customHeight="1" x14ac:dyDescent="0.3"/>
    <row r="3" spans="1:7" ht="25.05" customHeight="1" x14ac:dyDescent="0.3"/>
    <row r="4" spans="1:7" ht="25.05" customHeight="1" x14ac:dyDescent="0.3"/>
    <row r="5" spans="1:7" ht="25.05" customHeight="1" x14ac:dyDescent="0.3"/>
    <row r="6" spans="1:7" ht="25.05" customHeight="1" x14ac:dyDescent="0.3"/>
    <row r="7" spans="1:7" ht="25.05" customHeight="1" x14ac:dyDescent="0.3"/>
    <row r="8" spans="1:7" ht="25.05" customHeight="1" x14ac:dyDescent="0.3"/>
    <row r="9" spans="1:7" ht="25.05" customHeight="1" x14ac:dyDescent="0.3"/>
    <row r="10" spans="1:7" ht="25.05" customHeight="1" x14ac:dyDescent="0.3"/>
    <row r="11" spans="1:7" ht="25.05" customHeight="1" x14ac:dyDescent="0.3"/>
    <row r="12" spans="1:7" ht="25.05" customHeight="1" x14ac:dyDescent="0.3"/>
    <row r="13" spans="1:7" ht="73.8" customHeight="1" x14ac:dyDescent="0.3">
      <c r="A13" s="58" t="s">
        <v>39</v>
      </c>
      <c r="B13" s="58" t="s">
        <v>40</v>
      </c>
      <c r="C13" s="58" t="s">
        <v>41</v>
      </c>
      <c r="D13" s="58" t="s">
        <v>403</v>
      </c>
      <c r="E13" s="58" t="s">
        <v>42</v>
      </c>
      <c r="F13" s="58" t="s">
        <v>43</v>
      </c>
      <c r="G13" s="58" t="s">
        <v>44</v>
      </c>
    </row>
    <row r="14" spans="1:7" ht="22.05" customHeight="1" x14ac:dyDescent="0.3">
      <c r="A14" s="145" t="s">
        <v>45</v>
      </c>
      <c r="B14" s="145" t="s">
        <v>400</v>
      </c>
      <c r="C14" s="145" t="s">
        <v>460</v>
      </c>
      <c r="D14" s="145">
        <v>8</v>
      </c>
      <c r="E14" s="145" t="s">
        <v>47</v>
      </c>
      <c r="F14" s="120" t="s">
        <v>187</v>
      </c>
      <c r="G14" s="121">
        <v>7</v>
      </c>
    </row>
    <row r="15" spans="1:7" ht="22.05" customHeight="1" x14ac:dyDescent="0.45">
      <c r="A15" s="146"/>
      <c r="B15" s="146"/>
      <c r="C15" s="146"/>
      <c r="D15" s="146"/>
      <c r="E15" s="146"/>
      <c r="F15" s="122" t="s">
        <v>188</v>
      </c>
      <c r="G15" s="123">
        <v>5</v>
      </c>
    </row>
    <row r="16" spans="1:7" ht="22.05" customHeight="1" x14ac:dyDescent="0.45">
      <c r="A16" s="146"/>
      <c r="B16" s="146"/>
      <c r="C16" s="146"/>
      <c r="D16" s="146"/>
      <c r="E16" s="146"/>
      <c r="F16" s="122" t="s">
        <v>185</v>
      </c>
      <c r="G16" s="123">
        <v>5</v>
      </c>
    </row>
    <row r="17" spans="1:7" ht="22.05" customHeight="1" x14ac:dyDescent="0.45">
      <c r="A17" s="147"/>
      <c r="B17" s="147"/>
      <c r="C17" s="147"/>
      <c r="D17" s="147"/>
      <c r="E17" s="147"/>
      <c r="F17" s="122" t="s">
        <v>186</v>
      </c>
      <c r="G17" s="123">
        <v>3</v>
      </c>
    </row>
    <row r="18" spans="1:7" ht="22.05" customHeight="1" x14ac:dyDescent="0.3">
      <c r="A18" s="145" t="s">
        <v>46</v>
      </c>
      <c r="B18" s="145" t="s">
        <v>339</v>
      </c>
      <c r="C18" s="145" t="s">
        <v>461</v>
      </c>
      <c r="D18" s="145">
        <v>13</v>
      </c>
      <c r="E18" s="145" t="s">
        <v>463</v>
      </c>
      <c r="F18" s="120" t="s">
        <v>187</v>
      </c>
      <c r="G18" s="121">
        <v>12</v>
      </c>
    </row>
    <row r="19" spans="1:7" ht="22.05" customHeight="1" x14ac:dyDescent="0.45">
      <c r="A19" s="146"/>
      <c r="B19" s="146"/>
      <c r="C19" s="146"/>
      <c r="D19" s="146"/>
      <c r="E19" s="146"/>
      <c r="F19" s="122" t="s">
        <v>29</v>
      </c>
      <c r="G19" s="123">
        <v>15</v>
      </c>
    </row>
    <row r="20" spans="1:7" ht="22.05" customHeight="1" x14ac:dyDescent="0.45">
      <c r="A20" s="146"/>
      <c r="B20" s="146"/>
      <c r="C20" s="146"/>
      <c r="D20" s="146"/>
      <c r="E20" s="146"/>
      <c r="F20" s="122" t="s">
        <v>188</v>
      </c>
      <c r="G20" s="123">
        <v>8</v>
      </c>
    </row>
    <row r="21" spans="1:7" ht="22.05" customHeight="1" x14ac:dyDescent="0.45">
      <c r="A21" s="146"/>
      <c r="B21" s="146"/>
      <c r="C21" s="146"/>
      <c r="D21" s="146"/>
      <c r="E21" s="146"/>
      <c r="F21" s="122" t="s">
        <v>186</v>
      </c>
      <c r="G21" s="123">
        <v>5</v>
      </c>
    </row>
    <row r="22" spans="1:7" ht="22.05" customHeight="1" x14ac:dyDescent="0.3">
      <c r="A22" s="145" t="s">
        <v>48</v>
      </c>
      <c r="B22" s="145" t="s">
        <v>339</v>
      </c>
      <c r="C22" s="145" t="s">
        <v>466</v>
      </c>
      <c r="D22" s="145">
        <v>13</v>
      </c>
      <c r="E22" s="145" t="s">
        <v>462</v>
      </c>
      <c r="F22" s="120" t="s">
        <v>187</v>
      </c>
      <c r="G22" s="121">
        <v>12</v>
      </c>
    </row>
    <row r="23" spans="1:7" ht="22.05" customHeight="1" x14ac:dyDescent="0.45">
      <c r="A23" s="146"/>
      <c r="B23" s="146"/>
      <c r="C23" s="146"/>
      <c r="D23" s="146"/>
      <c r="E23" s="146"/>
      <c r="F23" s="122" t="s">
        <v>29</v>
      </c>
      <c r="G23" s="123">
        <v>15</v>
      </c>
    </row>
    <row r="24" spans="1:7" ht="22.05" customHeight="1" x14ac:dyDescent="0.45">
      <c r="A24" s="146"/>
      <c r="B24" s="146"/>
      <c r="C24" s="146"/>
      <c r="D24" s="146"/>
      <c r="E24" s="146"/>
      <c r="F24" s="122" t="s">
        <v>188</v>
      </c>
      <c r="G24" s="123">
        <v>8</v>
      </c>
    </row>
    <row r="25" spans="1:7" ht="22.05" customHeight="1" x14ac:dyDescent="0.45">
      <c r="A25" s="146"/>
      <c r="B25" s="146"/>
      <c r="C25" s="146"/>
      <c r="D25" s="146"/>
      <c r="E25" s="146"/>
      <c r="F25" s="122" t="s">
        <v>186</v>
      </c>
      <c r="G25" s="123">
        <v>5</v>
      </c>
    </row>
    <row r="26" spans="1:7" ht="22.05" customHeight="1" x14ac:dyDescent="0.3">
      <c r="A26" s="144" t="s">
        <v>49</v>
      </c>
      <c r="B26" s="144" t="s">
        <v>400</v>
      </c>
      <c r="C26" s="144" t="s">
        <v>467</v>
      </c>
      <c r="D26" s="145">
        <v>6</v>
      </c>
      <c r="E26" s="144" t="s">
        <v>238</v>
      </c>
      <c r="F26" s="120" t="s">
        <v>187</v>
      </c>
      <c r="G26" s="121">
        <v>7</v>
      </c>
    </row>
    <row r="27" spans="1:7" ht="22.05" customHeight="1" x14ac:dyDescent="0.45">
      <c r="A27" s="144"/>
      <c r="B27" s="144"/>
      <c r="C27" s="144"/>
      <c r="D27" s="146"/>
      <c r="E27" s="144"/>
      <c r="F27" s="122" t="s">
        <v>185</v>
      </c>
      <c r="G27" s="123">
        <v>5</v>
      </c>
    </row>
    <row r="28" spans="1:7" ht="22.05" customHeight="1" x14ac:dyDescent="0.45">
      <c r="A28" s="144"/>
      <c r="B28" s="144"/>
      <c r="C28" s="144"/>
      <c r="D28" s="147"/>
      <c r="E28" s="144"/>
      <c r="F28" s="122" t="s">
        <v>186</v>
      </c>
      <c r="G28" s="123">
        <v>4</v>
      </c>
    </row>
    <row r="29" spans="1:7" ht="22.05" customHeight="1" x14ac:dyDescent="0.3">
      <c r="A29" s="144" t="s">
        <v>50</v>
      </c>
      <c r="B29" s="144" t="s">
        <v>339</v>
      </c>
      <c r="C29" s="144" t="s">
        <v>470</v>
      </c>
      <c r="D29" s="145">
        <v>13</v>
      </c>
      <c r="E29" s="144" t="s">
        <v>431</v>
      </c>
      <c r="F29" s="120" t="s">
        <v>187</v>
      </c>
      <c r="G29" s="121">
        <v>15</v>
      </c>
    </row>
    <row r="30" spans="1:7" ht="22.05" customHeight="1" x14ac:dyDescent="0.3">
      <c r="A30" s="144"/>
      <c r="B30" s="144"/>
      <c r="C30" s="144"/>
      <c r="D30" s="146"/>
      <c r="E30" s="144"/>
      <c r="F30" s="120" t="s">
        <v>188</v>
      </c>
      <c r="G30" s="121">
        <v>10</v>
      </c>
    </row>
    <row r="31" spans="1:7" ht="22.05" customHeight="1" x14ac:dyDescent="0.45">
      <c r="A31" s="144"/>
      <c r="B31" s="144"/>
      <c r="C31" s="144"/>
      <c r="D31" s="146"/>
      <c r="E31" s="144"/>
      <c r="F31" s="122" t="s">
        <v>185</v>
      </c>
      <c r="G31" s="123">
        <v>10</v>
      </c>
    </row>
    <row r="32" spans="1:7" ht="22.05" customHeight="1" x14ac:dyDescent="0.45">
      <c r="A32" s="144"/>
      <c r="B32" s="144"/>
      <c r="C32" s="144"/>
      <c r="D32" s="147"/>
      <c r="E32" s="144"/>
      <c r="F32" s="122" t="s">
        <v>186</v>
      </c>
      <c r="G32" s="123">
        <v>8</v>
      </c>
    </row>
    <row r="33" spans="1:7" ht="22.05" customHeight="1" x14ac:dyDescent="0.3">
      <c r="A33" s="144" t="s">
        <v>464</v>
      </c>
      <c r="B33" s="144" t="s">
        <v>339</v>
      </c>
      <c r="C33" s="144" t="s">
        <v>472</v>
      </c>
      <c r="D33" s="145">
        <v>12</v>
      </c>
      <c r="E33" s="144" t="s">
        <v>517</v>
      </c>
      <c r="F33" s="120" t="s">
        <v>187</v>
      </c>
      <c r="G33" s="121">
        <v>15</v>
      </c>
    </row>
    <row r="34" spans="1:7" ht="22.05" customHeight="1" x14ac:dyDescent="0.3">
      <c r="A34" s="144"/>
      <c r="B34" s="144"/>
      <c r="C34" s="144"/>
      <c r="D34" s="146"/>
      <c r="E34" s="144"/>
      <c r="F34" s="120" t="s">
        <v>188</v>
      </c>
      <c r="G34" s="121">
        <v>10</v>
      </c>
    </row>
    <row r="35" spans="1:7" ht="22.05" customHeight="1" x14ac:dyDescent="0.45">
      <c r="A35" s="144"/>
      <c r="B35" s="144"/>
      <c r="C35" s="144"/>
      <c r="D35" s="146"/>
      <c r="E35" s="144"/>
      <c r="F35" s="122" t="s">
        <v>185</v>
      </c>
      <c r="G35" s="123">
        <v>10</v>
      </c>
    </row>
    <row r="36" spans="1:7" ht="21.6" customHeight="1" x14ac:dyDescent="0.45">
      <c r="A36" s="144"/>
      <c r="B36" s="144"/>
      <c r="C36" s="144"/>
      <c r="D36" s="147"/>
      <c r="E36" s="144"/>
      <c r="F36" s="122" t="s">
        <v>186</v>
      </c>
      <c r="G36" s="123">
        <v>8</v>
      </c>
    </row>
    <row r="37" spans="1:7" ht="21.6" customHeight="1" x14ac:dyDescent="0.3">
      <c r="A37" s="144" t="s">
        <v>465</v>
      </c>
      <c r="B37" s="144" t="s">
        <v>339</v>
      </c>
      <c r="C37" s="144" t="s">
        <v>471</v>
      </c>
      <c r="D37" s="145">
        <v>13</v>
      </c>
      <c r="E37" s="144" t="s">
        <v>526</v>
      </c>
      <c r="F37" s="120" t="s">
        <v>187</v>
      </c>
      <c r="G37" s="121">
        <v>10</v>
      </c>
    </row>
    <row r="38" spans="1:7" ht="21.6" customHeight="1" x14ac:dyDescent="0.45">
      <c r="A38" s="144"/>
      <c r="B38" s="144"/>
      <c r="C38" s="144"/>
      <c r="D38" s="146"/>
      <c r="E38" s="144"/>
      <c r="F38" s="122" t="s">
        <v>29</v>
      </c>
      <c r="G38" s="123">
        <v>15</v>
      </c>
    </row>
    <row r="39" spans="1:7" ht="21.6" customHeight="1" x14ac:dyDescent="0.45">
      <c r="A39" s="144"/>
      <c r="B39" s="144"/>
      <c r="C39" s="144"/>
      <c r="D39" s="146"/>
      <c r="E39" s="144"/>
      <c r="F39" s="122" t="s">
        <v>188</v>
      </c>
      <c r="G39" s="123">
        <v>10</v>
      </c>
    </row>
    <row r="40" spans="1:7" ht="21.6" customHeight="1" x14ac:dyDescent="0.45">
      <c r="A40" s="144"/>
      <c r="B40" s="144"/>
      <c r="C40" s="144"/>
      <c r="D40" s="146"/>
      <c r="E40" s="144"/>
      <c r="F40" s="122" t="s">
        <v>185</v>
      </c>
      <c r="G40" s="123">
        <v>12</v>
      </c>
    </row>
    <row r="41" spans="1:7" ht="21.6" customHeight="1" x14ac:dyDescent="0.45">
      <c r="A41" s="144"/>
      <c r="B41" s="144"/>
      <c r="C41" s="144"/>
      <c r="D41" s="147"/>
      <c r="E41" s="144"/>
      <c r="F41" s="122" t="s">
        <v>186</v>
      </c>
      <c r="G41" s="123">
        <v>8</v>
      </c>
    </row>
    <row r="59" ht="14.4" customHeight="1" x14ac:dyDescent="0.3"/>
    <row r="60" ht="14.4" customHeight="1" x14ac:dyDescent="0.3"/>
    <row r="61" ht="14.4" customHeight="1" x14ac:dyDescent="0.3"/>
    <row r="90" spans="1:15" x14ac:dyDescent="0.3">
      <c r="A90" s="65"/>
      <c r="B90" s="65"/>
      <c r="C90" s="65"/>
      <c r="D90" s="65"/>
      <c r="E90" s="65"/>
      <c r="F90" s="65"/>
      <c r="G90" s="65"/>
    </row>
    <row r="91" spans="1:15" x14ac:dyDescent="0.3">
      <c r="A91" s="65"/>
      <c r="B91" s="65"/>
      <c r="C91" s="65"/>
      <c r="D91" s="65"/>
      <c r="E91" s="65"/>
      <c r="F91" s="65"/>
      <c r="G91" s="65"/>
    </row>
    <row r="92" spans="1:15" x14ac:dyDescent="0.3">
      <c r="A92" s="65"/>
      <c r="B92" s="65"/>
      <c r="C92" s="65"/>
      <c r="D92" s="65"/>
      <c r="E92" s="65"/>
      <c r="F92" s="65"/>
      <c r="G92" s="65"/>
    </row>
    <row r="93" spans="1:15" x14ac:dyDescent="0.3">
      <c r="A93" s="65"/>
      <c r="B93" s="65"/>
      <c r="C93" s="65"/>
      <c r="D93" s="65"/>
      <c r="E93" s="65"/>
      <c r="F93" s="65"/>
      <c r="G93" s="65"/>
    </row>
    <row r="94" spans="1:15" x14ac:dyDescent="0.3">
      <c r="A94" s="65"/>
      <c r="B94" s="65"/>
      <c r="C94" s="65">
        <v>78</v>
      </c>
      <c r="D94" s="65">
        <v>0</v>
      </c>
      <c r="E94" s="65">
        <f>78/24</f>
        <v>3.25</v>
      </c>
      <c r="F94" s="65">
        <v>78</v>
      </c>
      <c r="G94" s="65"/>
      <c r="H94" s="71"/>
      <c r="I94"/>
      <c r="J94"/>
      <c r="K94"/>
      <c r="L94"/>
      <c r="M94"/>
      <c r="N94"/>
      <c r="O94"/>
    </row>
    <row r="95" spans="1:15" x14ac:dyDescent="0.3">
      <c r="A95" s="65"/>
      <c r="B95" s="65"/>
      <c r="C95" s="65">
        <f>78 - D95 * $E$94</f>
        <v>74.75</v>
      </c>
      <c r="D95" s="65">
        <v>1</v>
      </c>
      <c r="E95" s="65"/>
      <c r="F95" s="65">
        <v>74</v>
      </c>
      <c r="G95" s="65"/>
      <c r="H95" s="71"/>
      <c r="I95"/>
      <c r="J95"/>
      <c r="K95"/>
      <c r="L95"/>
      <c r="M95"/>
      <c r="N95"/>
      <c r="O95"/>
    </row>
    <row r="96" spans="1:15" x14ac:dyDescent="0.3">
      <c r="A96" s="65"/>
      <c r="B96" s="65"/>
      <c r="C96" s="65">
        <f>78 - D96 * $E$94</f>
        <v>71.5</v>
      </c>
      <c r="D96" s="65">
        <v>2</v>
      </c>
      <c r="E96" s="65"/>
      <c r="F96" s="65">
        <v>71</v>
      </c>
      <c r="G96" s="65"/>
      <c r="H96" s="71"/>
      <c r="I96"/>
      <c r="J96"/>
      <c r="K96"/>
      <c r="L96"/>
      <c r="M96"/>
      <c r="N96"/>
      <c r="O96"/>
    </row>
    <row r="97" spans="1:15" x14ac:dyDescent="0.3">
      <c r="A97" s="65"/>
      <c r="B97" s="65"/>
      <c r="C97" s="65">
        <f t="shared" ref="C97:C125" si="0">78 - D97 * $E$94</f>
        <v>68.25</v>
      </c>
      <c r="D97" s="65">
        <v>3</v>
      </c>
      <c r="E97" s="65"/>
      <c r="F97" s="65">
        <v>68</v>
      </c>
      <c r="G97" s="65"/>
      <c r="H97" s="71"/>
      <c r="I97"/>
      <c r="J97"/>
      <c r="K97"/>
      <c r="L97"/>
      <c r="M97"/>
      <c r="N97"/>
      <c r="O97"/>
    </row>
    <row r="98" spans="1:15" x14ac:dyDescent="0.3">
      <c r="A98" s="65"/>
      <c r="B98" s="65"/>
      <c r="C98" s="65">
        <f t="shared" si="0"/>
        <v>65</v>
      </c>
      <c r="D98" s="65">
        <v>4</v>
      </c>
      <c r="E98" s="65"/>
      <c r="F98" s="65">
        <v>67</v>
      </c>
      <c r="G98" s="65"/>
      <c r="H98" s="71"/>
      <c r="I98"/>
      <c r="J98"/>
      <c r="K98"/>
      <c r="L98"/>
      <c r="M98"/>
      <c r="N98"/>
      <c r="O98"/>
    </row>
    <row r="99" spans="1:15" x14ac:dyDescent="0.3">
      <c r="A99" s="65"/>
      <c r="B99" s="65"/>
      <c r="C99" s="65">
        <f t="shared" si="0"/>
        <v>61.75</v>
      </c>
      <c r="D99" s="65">
        <v>5</v>
      </c>
      <c r="E99" s="65"/>
      <c r="F99" s="65">
        <v>63</v>
      </c>
      <c r="G99" s="65"/>
      <c r="H99" s="71"/>
      <c r="I99"/>
      <c r="J99"/>
      <c r="K99"/>
      <c r="L99"/>
      <c r="M99"/>
      <c r="N99"/>
      <c r="O99"/>
    </row>
    <row r="100" spans="1:15" x14ac:dyDescent="0.3">
      <c r="A100" s="65"/>
      <c r="B100" s="65"/>
      <c r="C100" s="65">
        <f t="shared" si="0"/>
        <v>58.5</v>
      </c>
      <c r="D100" s="65">
        <v>6</v>
      </c>
      <c r="E100" s="65"/>
      <c r="F100" s="65">
        <v>60</v>
      </c>
      <c r="G100" s="65"/>
      <c r="H100" s="71"/>
      <c r="I100"/>
      <c r="J100"/>
      <c r="K100"/>
      <c r="L100"/>
      <c r="M100"/>
      <c r="N100"/>
      <c r="O100"/>
    </row>
    <row r="101" spans="1:15" x14ac:dyDescent="0.3">
      <c r="A101" s="65"/>
      <c r="B101" s="65"/>
      <c r="C101" s="65">
        <f t="shared" si="0"/>
        <v>55.25</v>
      </c>
      <c r="D101" s="65">
        <v>7</v>
      </c>
      <c r="E101" s="65"/>
      <c r="F101" s="65">
        <v>58</v>
      </c>
      <c r="G101" s="65"/>
      <c r="H101" s="71"/>
      <c r="I101"/>
      <c r="J101"/>
      <c r="K101"/>
      <c r="L101"/>
      <c r="M101"/>
      <c r="N101"/>
      <c r="O101"/>
    </row>
    <row r="102" spans="1:15" x14ac:dyDescent="0.3">
      <c r="A102" s="65"/>
      <c r="B102" s="65"/>
      <c r="C102" s="65">
        <f t="shared" si="0"/>
        <v>52</v>
      </c>
      <c r="D102" s="65">
        <v>8</v>
      </c>
      <c r="E102" s="65"/>
      <c r="F102" s="65">
        <v>54</v>
      </c>
      <c r="G102" s="65"/>
      <c r="H102" s="71"/>
      <c r="I102"/>
      <c r="J102"/>
      <c r="K102"/>
      <c r="L102"/>
      <c r="M102"/>
      <c r="N102"/>
      <c r="O102"/>
    </row>
    <row r="103" spans="1:15" x14ac:dyDescent="0.3">
      <c r="A103" s="65"/>
      <c r="B103" s="65"/>
      <c r="C103" s="65">
        <f t="shared" si="0"/>
        <v>48.75</v>
      </c>
      <c r="D103" s="65">
        <v>9</v>
      </c>
      <c r="E103" s="65"/>
      <c r="F103" s="65">
        <v>51</v>
      </c>
      <c r="G103" s="65"/>
      <c r="H103" s="71"/>
      <c r="I103"/>
      <c r="J103"/>
      <c r="K103"/>
      <c r="L103"/>
      <c r="M103"/>
      <c r="N103"/>
      <c r="O103"/>
    </row>
    <row r="104" spans="1:15" x14ac:dyDescent="0.3">
      <c r="A104" s="65"/>
      <c r="B104" s="65"/>
      <c r="C104" s="65">
        <f t="shared" si="0"/>
        <v>45.5</v>
      </c>
      <c r="D104" s="65">
        <v>10</v>
      </c>
      <c r="E104" s="65"/>
      <c r="F104" s="65">
        <v>48</v>
      </c>
      <c r="G104" s="65"/>
      <c r="H104" s="71"/>
      <c r="I104"/>
      <c r="J104"/>
      <c r="K104"/>
      <c r="L104"/>
      <c r="M104"/>
      <c r="N104"/>
      <c r="O104"/>
    </row>
    <row r="105" spans="1:15" x14ac:dyDescent="0.3">
      <c r="A105" s="65"/>
      <c r="B105" s="65"/>
      <c r="C105" s="65">
        <f t="shared" si="0"/>
        <v>42.25</v>
      </c>
      <c r="D105" s="65">
        <v>11</v>
      </c>
      <c r="E105" s="65"/>
      <c r="F105" s="65">
        <v>42</v>
      </c>
      <c r="G105" s="65"/>
      <c r="H105" s="71"/>
      <c r="I105"/>
      <c r="J105"/>
      <c r="K105"/>
      <c r="L105"/>
      <c r="M105"/>
      <c r="N105"/>
      <c r="O105"/>
    </row>
    <row r="106" spans="1:15" x14ac:dyDescent="0.3">
      <c r="A106" s="65"/>
      <c r="B106" s="65"/>
      <c r="C106" s="65">
        <f t="shared" si="0"/>
        <v>39</v>
      </c>
      <c r="D106" s="65">
        <v>12</v>
      </c>
      <c r="E106" s="65"/>
      <c r="F106" s="65">
        <v>39</v>
      </c>
      <c r="G106" s="65"/>
      <c r="H106" s="71"/>
      <c r="I106"/>
      <c r="J106"/>
      <c r="K106"/>
      <c r="L106"/>
      <c r="M106"/>
      <c r="N106"/>
      <c r="O106"/>
    </row>
    <row r="107" spans="1:15" x14ac:dyDescent="0.3">
      <c r="A107" s="65"/>
      <c r="B107" s="65"/>
      <c r="C107" s="65">
        <f t="shared" si="0"/>
        <v>35.75</v>
      </c>
      <c r="D107" s="65">
        <v>13</v>
      </c>
      <c r="E107" s="65"/>
      <c r="F107" s="65">
        <v>35</v>
      </c>
      <c r="G107" s="65"/>
      <c r="H107" s="71"/>
      <c r="I107"/>
      <c r="J107"/>
      <c r="K107"/>
      <c r="L107"/>
      <c r="M107"/>
      <c r="N107"/>
      <c r="O107"/>
    </row>
    <row r="108" spans="1:15" x14ac:dyDescent="0.3">
      <c r="A108" s="65"/>
      <c r="B108" s="65"/>
      <c r="C108" s="65">
        <f t="shared" si="0"/>
        <v>32.5</v>
      </c>
      <c r="D108" s="65">
        <v>14</v>
      </c>
      <c r="E108" s="65"/>
      <c r="F108" s="65">
        <v>32</v>
      </c>
      <c r="G108" s="65"/>
      <c r="H108" s="71"/>
      <c r="I108"/>
      <c r="J108"/>
      <c r="K108"/>
      <c r="L108"/>
      <c r="M108"/>
      <c r="N108"/>
      <c r="O108"/>
    </row>
    <row r="109" spans="1:15" x14ac:dyDescent="0.3">
      <c r="A109" s="65"/>
      <c r="B109" s="65"/>
      <c r="C109" s="65">
        <f t="shared" si="0"/>
        <v>29.25</v>
      </c>
      <c r="D109" s="65">
        <v>15</v>
      </c>
      <c r="E109" s="65"/>
      <c r="F109" s="65">
        <v>27</v>
      </c>
      <c r="G109" s="65"/>
      <c r="H109" s="71"/>
      <c r="I109"/>
      <c r="J109"/>
      <c r="K109"/>
      <c r="L109"/>
      <c r="M109"/>
      <c r="N109"/>
      <c r="O109"/>
    </row>
    <row r="110" spans="1:15" x14ac:dyDescent="0.3">
      <c r="A110" s="65"/>
      <c r="B110" s="65"/>
      <c r="C110" s="65">
        <f t="shared" si="0"/>
        <v>26</v>
      </c>
      <c r="D110" s="65">
        <v>16</v>
      </c>
      <c r="E110" s="65"/>
      <c r="F110" s="65">
        <v>23</v>
      </c>
      <c r="G110" s="65"/>
      <c r="H110" s="71"/>
      <c r="I110"/>
      <c r="J110"/>
      <c r="K110"/>
      <c r="L110"/>
      <c r="M110"/>
      <c r="N110"/>
      <c r="O110"/>
    </row>
    <row r="111" spans="1:15" x14ac:dyDescent="0.3">
      <c r="A111" s="65"/>
      <c r="B111" s="65"/>
      <c r="C111" s="65">
        <f t="shared" si="0"/>
        <v>22.75</v>
      </c>
      <c r="D111" s="65">
        <v>17</v>
      </c>
      <c r="E111" s="65"/>
      <c r="F111" s="65">
        <v>18</v>
      </c>
      <c r="G111" s="65"/>
      <c r="H111" s="71"/>
      <c r="I111"/>
      <c r="J111"/>
      <c r="K111"/>
      <c r="L111"/>
      <c r="M111"/>
      <c r="N111"/>
      <c r="O111"/>
    </row>
    <row r="112" spans="1:15" x14ac:dyDescent="0.3">
      <c r="A112" s="65"/>
      <c r="B112" s="65"/>
      <c r="C112" s="65">
        <f t="shared" si="0"/>
        <v>19.5</v>
      </c>
      <c r="D112" s="65">
        <v>18</v>
      </c>
      <c r="E112" s="65"/>
      <c r="F112" s="65">
        <v>14</v>
      </c>
      <c r="G112" s="65"/>
      <c r="H112" s="71"/>
      <c r="I112"/>
      <c r="J112"/>
      <c r="K112"/>
      <c r="L112"/>
      <c r="M112"/>
      <c r="N112"/>
      <c r="O112"/>
    </row>
    <row r="113" spans="1:15" x14ac:dyDescent="0.3">
      <c r="A113" s="65"/>
      <c r="B113" s="65"/>
      <c r="C113" s="65">
        <f t="shared" si="0"/>
        <v>16.25</v>
      </c>
      <c r="D113" s="65">
        <v>19</v>
      </c>
      <c r="E113" s="65"/>
      <c r="F113" s="65">
        <v>13</v>
      </c>
      <c r="G113" s="65"/>
      <c r="H113" s="71"/>
      <c r="I113"/>
      <c r="J113"/>
      <c r="K113"/>
      <c r="L113"/>
      <c r="M113"/>
      <c r="N113"/>
      <c r="O113"/>
    </row>
    <row r="114" spans="1:15" x14ac:dyDescent="0.3">
      <c r="A114" s="65"/>
      <c r="B114" s="65"/>
      <c r="C114" s="65">
        <f t="shared" si="0"/>
        <v>13</v>
      </c>
      <c r="D114" s="65">
        <v>20</v>
      </c>
      <c r="E114" s="65"/>
      <c r="F114" s="65">
        <v>12</v>
      </c>
      <c r="G114" s="65"/>
      <c r="H114" s="71"/>
      <c r="I114"/>
      <c r="J114"/>
      <c r="K114"/>
      <c r="L114"/>
      <c r="M114"/>
      <c r="N114"/>
      <c r="O114"/>
    </row>
    <row r="115" spans="1:15" x14ac:dyDescent="0.3">
      <c r="A115" s="65"/>
      <c r="B115" s="65"/>
      <c r="C115" s="65">
        <f t="shared" si="0"/>
        <v>9.75</v>
      </c>
      <c r="D115" s="65">
        <v>21</v>
      </c>
      <c r="E115" s="65"/>
      <c r="F115" s="65">
        <v>8</v>
      </c>
      <c r="G115" s="65"/>
      <c r="H115" s="71"/>
      <c r="I115"/>
      <c r="J115"/>
      <c r="K115"/>
      <c r="L115"/>
      <c r="M115"/>
      <c r="N115"/>
      <c r="O115"/>
    </row>
    <row r="116" spans="1:15" x14ac:dyDescent="0.3">
      <c r="A116" s="65"/>
      <c r="B116" s="65"/>
      <c r="C116" s="65">
        <f t="shared" si="0"/>
        <v>6.5</v>
      </c>
      <c r="D116" s="65">
        <v>22</v>
      </c>
      <c r="E116" s="65"/>
      <c r="F116" s="65">
        <v>7</v>
      </c>
      <c r="G116" s="65"/>
      <c r="H116" s="71"/>
      <c r="I116"/>
      <c r="J116"/>
      <c r="K116"/>
      <c r="L116"/>
      <c r="M116"/>
      <c r="N116"/>
      <c r="O116"/>
    </row>
    <row r="117" spans="1:15" x14ac:dyDescent="0.3">
      <c r="A117" s="65"/>
      <c r="B117" s="65"/>
      <c r="C117" s="65">
        <f t="shared" si="0"/>
        <v>3.25</v>
      </c>
      <c r="D117" s="65">
        <v>23</v>
      </c>
      <c r="E117" s="65"/>
      <c r="F117" s="65">
        <v>5</v>
      </c>
      <c r="G117" s="65"/>
      <c r="H117" s="71"/>
      <c r="I117"/>
      <c r="J117"/>
      <c r="K117"/>
      <c r="L117"/>
      <c r="M117"/>
      <c r="N117"/>
      <c r="O117"/>
    </row>
    <row r="118" spans="1:15" x14ac:dyDescent="0.3">
      <c r="A118" s="65"/>
      <c r="B118" s="65"/>
      <c r="C118" s="65">
        <f t="shared" si="0"/>
        <v>0</v>
      </c>
      <c r="D118" s="65">
        <v>24</v>
      </c>
      <c r="E118" s="65"/>
      <c r="F118" s="65">
        <v>0</v>
      </c>
      <c r="G118" s="65"/>
      <c r="H118" s="71"/>
      <c r="I118"/>
      <c r="J118"/>
      <c r="K118"/>
      <c r="L118"/>
      <c r="M118"/>
      <c r="N118"/>
      <c r="O118"/>
    </row>
    <row r="119" spans="1:15" x14ac:dyDescent="0.3">
      <c r="A119" s="65"/>
      <c r="B119" s="65"/>
      <c r="C119" s="65"/>
      <c r="D119" s="65"/>
      <c r="E119" s="65"/>
      <c r="F119" s="65"/>
      <c r="G119" s="65"/>
      <c r="H119" s="71"/>
      <c r="I119"/>
      <c r="J119"/>
      <c r="K119"/>
      <c r="L119"/>
      <c r="M119"/>
      <c r="N119"/>
      <c r="O119"/>
    </row>
    <row r="120" spans="1:15" x14ac:dyDescent="0.3">
      <c r="A120" s="65"/>
      <c r="B120" s="65"/>
      <c r="C120" s="65"/>
      <c r="D120" s="65"/>
      <c r="E120" s="65"/>
      <c r="F120" s="65"/>
      <c r="G120" s="65"/>
      <c r="H120" s="71"/>
      <c r="I120"/>
      <c r="J120"/>
      <c r="K120"/>
      <c r="L120"/>
      <c r="M120"/>
      <c r="N120"/>
      <c r="O120"/>
    </row>
    <row r="121" spans="1:15" x14ac:dyDescent="0.3">
      <c r="A121" s="65"/>
      <c r="B121" s="65"/>
      <c r="C121" s="65"/>
      <c r="D121" s="65"/>
      <c r="E121" s="65"/>
      <c r="F121" s="65"/>
      <c r="G121" s="65"/>
      <c r="H121" s="71"/>
      <c r="I121"/>
      <c r="J121"/>
      <c r="K121"/>
      <c r="L121"/>
      <c r="M121"/>
      <c r="N121"/>
      <c r="O121"/>
    </row>
    <row r="122" spans="1:15" x14ac:dyDescent="0.3">
      <c r="A122" s="65"/>
      <c r="B122" s="65"/>
      <c r="C122" s="65"/>
      <c r="D122" s="65"/>
      <c r="E122" s="65"/>
      <c r="F122" s="65"/>
      <c r="G122" s="65"/>
      <c r="H122" s="71"/>
      <c r="I122"/>
      <c r="J122"/>
      <c r="K122"/>
      <c r="L122"/>
      <c r="M122"/>
      <c r="N122"/>
      <c r="O122"/>
    </row>
    <row r="123" spans="1:15" x14ac:dyDescent="0.3">
      <c r="A123" s="65"/>
      <c r="B123" s="65"/>
      <c r="C123" s="65"/>
      <c r="D123" s="65"/>
      <c r="E123" s="65"/>
      <c r="F123" s="65"/>
      <c r="G123" s="65"/>
      <c r="H123" s="71"/>
      <c r="I123"/>
      <c r="J123"/>
      <c r="K123"/>
      <c r="L123"/>
      <c r="M123"/>
      <c r="N123"/>
      <c r="O123"/>
    </row>
    <row r="124" spans="1:15" x14ac:dyDescent="0.3">
      <c r="A124" s="65"/>
      <c r="B124" s="65"/>
      <c r="C124" s="65"/>
      <c r="D124" s="65"/>
      <c r="E124" s="65"/>
      <c r="F124" s="65"/>
      <c r="G124" s="65"/>
      <c r="H124" s="71"/>
      <c r="I124"/>
      <c r="J124"/>
      <c r="K124"/>
      <c r="L124"/>
      <c r="M124"/>
      <c r="N124"/>
      <c r="O124"/>
    </row>
    <row r="125" spans="1:15" x14ac:dyDescent="0.3">
      <c r="A125" s="65"/>
      <c r="B125" s="65"/>
      <c r="C125" s="65"/>
      <c r="D125" s="65"/>
      <c r="E125" s="65"/>
      <c r="F125" s="65"/>
      <c r="G125" s="65"/>
      <c r="H125" s="71"/>
      <c r="I125"/>
      <c r="J125"/>
      <c r="K125"/>
      <c r="L125"/>
      <c r="M125"/>
      <c r="N125"/>
      <c r="O125"/>
    </row>
    <row r="126" spans="1:15" x14ac:dyDescent="0.3">
      <c r="A126" s="65"/>
      <c r="B126" s="65"/>
      <c r="C126" s="65"/>
      <c r="D126" s="65"/>
      <c r="E126" s="65"/>
      <c r="F126" s="65"/>
      <c r="G126" s="65"/>
      <c r="H126" s="71"/>
      <c r="I126"/>
      <c r="J126"/>
      <c r="K126"/>
      <c r="L126"/>
      <c r="M126"/>
      <c r="N126"/>
      <c r="O126"/>
    </row>
    <row r="127" spans="1:15" x14ac:dyDescent="0.3">
      <c r="B127" s="71"/>
      <c r="H127" s="71"/>
      <c r="I127"/>
      <c r="J127"/>
      <c r="K127"/>
      <c r="L127"/>
      <c r="M127"/>
      <c r="N127"/>
      <c r="O127"/>
    </row>
    <row r="128" spans="1:15" x14ac:dyDescent="0.3">
      <c r="B128" s="71"/>
      <c r="H128" s="71"/>
      <c r="I128"/>
      <c r="J128"/>
      <c r="K128"/>
      <c r="L128"/>
      <c r="M128"/>
      <c r="N128"/>
      <c r="O128"/>
    </row>
    <row r="129" spans="2:15" x14ac:dyDescent="0.3">
      <c r="B129" s="71"/>
      <c r="H129" s="71"/>
      <c r="I129"/>
      <c r="J129"/>
      <c r="K129"/>
      <c r="L129"/>
      <c r="M129"/>
      <c r="N129"/>
      <c r="O129"/>
    </row>
    <row r="130" spans="2:15" x14ac:dyDescent="0.3">
      <c r="B130" s="71"/>
      <c r="H130" s="71"/>
      <c r="I130"/>
      <c r="J130"/>
      <c r="K130"/>
      <c r="L130"/>
      <c r="M130"/>
      <c r="N130"/>
      <c r="O130"/>
    </row>
    <row r="131" spans="2:15" x14ac:dyDescent="0.3">
      <c r="B131" s="71"/>
      <c r="H131" s="71"/>
      <c r="I131"/>
      <c r="J131"/>
      <c r="K131"/>
      <c r="L131"/>
      <c r="M131"/>
      <c r="N131"/>
      <c r="O131"/>
    </row>
    <row r="132" spans="2:15" x14ac:dyDescent="0.3">
      <c r="B132" s="71"/>
      <c r="H132" s="71"/>
      <c r="I132"/>
      <c r="J132"/>
      <c r="K132"/>
      <c r="L132"/>
      <c r="M132"/>
      <c r="N132"/>
      <c r="O132"/>
    </row>
    <row r="133" spans="2:15" x14ac:dyDescent="0.3">
      <c r="B133" s="71"/>
      <c r="H133" s="71"/>
      <c r="I133"/>
      <c r="J133"/>
      <c r="K133"/>
      <c r="L133"/>
      <c r="M133"/>
      <c r="N133"/>
      <c r="O133"/>
    </row>
    <row r="134" spans="2:15" x14ac:dyDescent="0.3">
      <c r="B134" s="71"/>
      <c r="H134" s="71"/>
      <c r="I134"/>
      <c r="J134"/>
      <c r="K134"/>
      <c r="L134"/>
      <c r="M134"/>
      <c r="N134"/>
      <c r="O134"/>
    </row>
    <row r="135" spans="2:15" x14ac:dyDescent="0.3">
      <c r="B135" s="71"/>
      <c r="H135" s="71"/>
      <c r="I135"/>
      <c r="J135"/>
      <c r="K135"/>
      <c r="L135"/>
      <c r="M135"/>
      <c r="N135"/>
      <c r="O135"/>
    </row>
    <row r="136" spans="2:15" x14ac:dyDescent="0.3">
      <c r="B136" s="71"/>
      <c r="H136" s="71"/>
      <c r="I136"/>
      <c r="J136"/>
      <c r="K136"/>
      <c r="L136"/>
      <c r="M136"/>
      <c r="N136"/>
      <c r="O136"/>
    </row>
    <row r="137" spans="2:15" x14ac:dyDescent="0.3">
      <c r="B137" s="71"/>
      <c r="G137" s="71"/>
      <c r="H137" s="71"/>
      <c r="I137"/>
      <c r="J137"/>
      <c r="K137"/>
      <c r="L137"/>
      <c r="M137"/>
      <c r="N137"/>
      <c r="O137"/>
    </row>
    <row r="138" spans="2:15" x14ac:dyDescent="0.3">
      <c r="B138" s="71"/>
      <c r="G138" s="71"/>
      <c r="H138" s="71"/>
      <c r="I138"/>
      <c r="J138"/>
      <c r="K138"/>
      <c r="L138"/>
      <c r="M138"/>
      <c r="N138"/>
      <c r="O138"/>
    </row>
    <row r="139" spans="2:15" x14ac:dyDescent="0.3">
      <c r="B139" s="71"/>
      <c r="G139" s="71"/>
      <c r="H139" s="71"/>
      <c r="I139"/>
      <c r="J139"/>
      <c r="K139"/>
      <c r="L139"/>
      <c r="M139"/>
      <c r="N139"/>
      <c r="O139"/>
    </row>
    <row r="140" spans="2:15" x14ac:dyDescent="0.3">
      <c r="B140" s="71"/>
      <c r="G140" s="71"/>
      <c r="H140" s="71"/>
      <c r="I140"/>
      <c r="J140"/>
      <c r="K140"/>
      <c r="L140"/>
      <c r="M140"/>
      <c r="N140"/>
      <c r="O140"/>
    </row>
    <row r="141" spans="2:15" x14ac:dyDescent="0.3">
      <c r="B141" s="71"/>
      <c r="G141" s="71"/>
      <c r="H141" s="71"/>
      <c r="I141"/>
      <c r="J141"/>
      <c r="K141"/>
      <c r="L141"/>
      <c r="M141"/>
      <c r="N141"/>
      <c r="O141"/>
    </row>
    <row r="142" spans="2:15" x14ac:dyDescent="0.3">
      <c r="B142" s="71"/>
      <c r="G142" s="71"/>
      <c r="H142" s="71"/>
      <c r="I142"/>
      <c r="J142"/>
      <c r="K142"/>
      <c r="L142"/>
      <c r="M142"/>
      <c r="N142"/>
      <c r="O142"/>
    </row>
    <row r="143" spans="2:15" x14ac:dyDescent="0.3">
      <c r="B143" s="71"/>
      <c r="G143" s="71"/>
      <c r="H143" s="71"/>
      <c r="I143"/>
      <c r="J143"/>
      <c r="K143"/>
      <c r="L143"/>
      <c r="M143"/>
      <c r="N143"/>
      <c r="O143"/>
    </row>
    <row r="144" spans="2:15" x14ac:dyDescent="0.3">
      <c r="B144" s="71"/>
      <c r="G144" s="71"/>
      <c r="H144" s="71"/>
      <c r="I144"/>
      <c r="J144"/>
      <c r="K144"/>
      <c r="L144"/>
      <c r="M144"/>
      <c r="N144"/>
      <c r="O144"/>
    </row>
    <row r="145" spans="2:15" x14ac:dyDescent="0.3">
      <c r="B145" s="71"/>
      <c r="G145" s="71"/>
      <c r="H145" s="71"/>
      <c r="I145"/>
      <c r="J145"/>
      <c r="K145"/>
      <c r="L145"/>
      <c r="M145"/>
      <c r="N145"/>
      <c r="O145"/>
    </row>
    <row r="146" spans="2:15" x14ac:dyDescent="0.3">
      <c r="B146" s="71"/>
      <c r="G146" s="71"/>
      <c r="H146" s="71"/>
      <c r="I146"/>
      <c r="J146"/>
      <c r="K146"/>
      <c r="L146"/>
      <c r="M146"/>
      <c r="N146"/>
      <c r="O146"/>
    </row>
    <row r="147" spans="2:15" x14ac:dyDescent="0.3">
      <c r="B147" s="71"/>
      <c r="G147" s="71"/>
      <c r="H147" s="71"/>
      <c r="I147"/>
      <c r="J147"/>
      <c r="K147"/>
      <c r="L147"/>
      <c r="M147"/>
      <c r="N147"/>
      <c r="O147"/>
    </row>
    <row r="148" spans="2:15" x14ac:dyDescent="0.3">
      <c r="B148" s="71"/>
      <c r="G148" s="71"/>
      <c r="H148" s="71"/>
      <c r="I148"/>
      <c r="J148"/>
      <c r="K148"/>
      <c r="L148"/>
      <c r="M148"/>
      <c r="N148"/>
      <c r="O148"/>
    </row>
    <row r="149" spans="2:15" x14ac:dyDescent="0.3">
      <c r="B149" s="71"/>
      <c r="G149" s="71"/>
      <c r="H149" s="71"/>
      <c r="I149"/>
      <c r="J149"/>
      <c r="K149"/>
      <c r="L149"/>
      <c r="M149"/>
      <c r="N149"/>
      <c r="O149"/>
    </row>
    <row r="150" spans="2:15" x14ac:dyDescent="0.3">
      <c r="B150" s="71"/>
      <c r="G150" s="71"/>
      <c r="H150" s="71"/>
      <c r="I150"/>
      <c r="J150"/>
      <c r="K150"/>
      <c r="L150"/>
      <c r="M150"/>
      <c r="N150"/>
      <c r="O150"/>
    </row>
    <row r="151" spans="2:15" x14ac:dyDescent="0.3">
      <c r="B151" s="71"/>
      <c r="G151" s="71"/>
      <c r="H151" s="71"/>
      <c r="I151"/>
      <c r="J151"/>
      <c r="K151"/>
      <c r="L151"/>
      <c r="M151"/>
      <c r="N151"/>
      <c r="O151"/>
    </row>
    <row r="152" spans="2:15" x14ac:dyDescent="0.3">
      <c r="B152" s="71"/>
      <c r="G152" s="71"/>
      <c r="H152" s="71"/>
      <c r="I152"/>
      <c r="J152"/>
      <c r="K152"/>
      <c r="L152"/>
      <c r="M152"/>
      <c r="N152"/>
      <c r="O152"/>
    </row>
    <row r="153" spans="2:15" x14ac:dyDescent="0.3">
      <c r="B153" s="71"/>
      <c r="G153" s="71"/>
      <c r="H153" s="71"/>
      <c r="I153"/>
      <c r="J153"/>
      <c r="K153"/>
      <c r="L153"/>
      <c r="M153"/>
      <c r="N153"/>
      <c r="O153"/>
    </row>
    <row r="154" spans="2:15" x14ac:dyDescent="0.3">
      <c r="B154" s="71"/>
      <c r="G154" s="71"/>
      <c r="H154" s="71"/>
      <c r="I154"/>
      <c r="J154"/>
      <c r="K154"/>
      <c r="L154"/>
      <c r="M154"/>
      <c r="N154"/>
      <c r="O154"/>
    </row>
    <row r="155" spans="2:15" x14ac:dyDescent="0.3">
      <c r="B155" s="71"/>
      <c r="G155" s="71"/>
      <c r="H155" s="71"/>
      <c r="I155"/>
      <c r="J155"/>
      <c r="K155"/>
      <c r="L155"/>
      <c r="M155"/>
      <c r="N155"/>
      <c r="O155"/>
    </row>
    <row r="156" spans="2:15" x14ac:dyDescent="0.3">
      <c r="B156" s="71"/>
      <c r="G156" s="71"/>
      <c r="H156" s="71"/>
      <c r="I156"/>
      <c r="J156"/>
      <c r="K156"/>
      <c r="L156"/>
      <c r="M156"/>
      <c r="N156"/>
      <c r="O156"/>
    </row>
    <row r="157" spans="2:15" x14ac:dyDescent="0.3">
      <c r="B157" s="71"/>
      <c r="G157" s="71"/>
      <c r="H157" s="71"/>
      <c r="I157"/>
      <c r="J157"/>
      <c r="K157"/>
      <c r="L157"/>
      <c r="M157"/>
      <c r="N157"/>
      <c r="O157"/>
    </row>
    <row r="158" spans="2:15" x14ac:dyDescent="0.3">
      <c r="B158" s="71"/>
      <c r="G158" s="71"/>
      <c r="H158" s="71"/>
      <c r="I158"/>
      <c r="J158"/>
      <c r="K158"/>
      <c r="L158"/>
      <c r="M158"/>
      <c r="N158"/>
      <c r="O158"/>
    </row>
    <row r="159" spans="2:15" x14ac:dyDescent="0.3">
      <c r="B159" s="71"/>
      <c r="G159" s="71"/>
      <c r="H159" s="71"/>
      <c r="I159"/>
      <c r="J159"/>
      <c r="K159"/>
      <c r="L159"/>
      <c r="M159"/>
      <c r="N159"/>
      <c r="O159"/>
    </row>
    <row r="160" spans="2:15" x14ac:dyDescent="0.3">
      <c r="B160" s="71"/>
      <c r="G160" s="71"/>
      <c r="H160" s="71"/>
      <c r="I160"/>
      <c r="J160"/>
      <c r="K160"/>
      <c r="L160"/>
      <c r="M160"/>
      <c r="N160"/>
      <c r="O160"/>
    </row>
    <row r="161" spans="2:15" x14ac:dyDescent="0.3">
      <c r="B161" s="71"/>
      <c r="G161" s="71"/>
      <c r="H161" s="71"/>
      <c r="I161"/>
      <c r="J161"/>
      <c r="K161"/>
      <c r="L161"/>
      <c r="M161"/>
      <c r="N161"/>
      <c r="O161"/>
    </row>
    <row r="162" spans="2:15" x14ac:dyDescent="0.3">
      <c r="B162" s="71"/>
      <c r="G162" s="71"/>
      <c r="H162" s="71"/>
      <c r="I162"/>
      <c r="J162"/>
      <c r="K162"/>
      <c r="L162"/>
      <c r="M162"/>
      <c r="N162"/>
      <c r="O162"/>
    </row>
    <row r="163" spans="2:15" x14ac:dyDescent="0.3">
      <c r="B163" s="71"/>
      <c r="G163" s="71"/>
      <c r="H163" s="71"/>
      <c r="I163"/>
      <c r="J163"/>
      <c r="K163"/>
      <c r="L163"/>
      <c r="M163"/>
      <c r="N163"/>
      <c r="O163"/>
    </row>
    <row r="164" spans="2:15" x14ac:dyDescent="0.3">
      <c r="B164" s="71"/>
      <c r="G164" s="71"/>
      <c r="H164" s="71"/>
      <c r="I164"/>
      <c r="J164"/>
      <c r="K164"/>
      <c r="L164"/>
      <c r="M164"/>
      <c r="N164"/>
      <c r="O164"/>
    </row>
    <row r="165" spans="2:15" x14ac:dyDescent="0.3">
      <c r="B165" s="71"/>
      <c r="G165" s="71"/>
      <c r="H165" s="71"/>
      <c r="I165"/>
      <c r="J165"/>
      <c r="K165"/>
      <c r="L165"/>
      <c r="M165"/>
      <c r="N165"/>
      <c r="O165"/>
    </row>
    <row r="166" spans="2:15" x14ac:dyDescent="0.3">
      <c r="B166" s="71"/>
      <c r="G166" s="71"/>
      <c r="H166" s="71"/>
      <c r="I166"/>
      <c r="J166"/>
      <c r="K166"/>
      <c r="L166"/>
      <c r="M166"/>
      <c r="N166"/>
      <c r="O166"/>
    </row>
    <row r="167" spans="2:15" x14ac:dyDescent="0.3">
      <c r="B167" s="71"/>
      <c r="G167" s="71"/>
      <c r="H167" s="71"/>
      <c r="I167"/>
      <c r="J167"/>
      <c r="K167"/>
      <c r="L167"/>
      <c r="M167"/>
      <c r="N167"/>
      <c r="O167"/>
    </row>
    <row r="168" spans="2:15" x14ac:dyDescent="0.3">
      <c r="B168" s="71"/>
      <c r="G168" s="71"/>
      <c r="H168" s="71"/>
      <c r="I168"/>
      <c r="J168"/>
      <c r="K168"/>
      <c r="L168"/>
      <c r="M168"/>
      <c r="N168"/>
      <c r="O168"/>
    </row>
    <row r="169" spans="2:15" x14ac:dyDescent="0.3">
      <c r="B169" s="71"/>
      <c r="G169" s="71"/>
      <c r="H169" s="71"/>
      <c r="I169"/>
      <c r="J169"/>
      <c r="K169"/>
      <c r="L169"/>
      <c r="M169"/>
      <c r="N169"/>
      <c r="O169"/>
    </row>
    <row r="170" spans="2:15" x14ac:dyDescent="0.3">
      <c r="B170" s="71"/>
      <c r="G170" s="71"/>
      <c r="H170" s="71"/>
      <c r="I170"/>
      <c r="J170"/>
      <c r="K170"/>
      <c r="L170"/>
      <c r="M170"/>
      <c r="N170"/>
      <c r="O170"/>
    </row>
    <row r="171" spans="2:15" x14ac:dyDescent="0.3">
      <c r="B171" s="71"/>
      <c r="G171" s="71"/>
      <c r="H171" s="71"/>
      <c r="I171"/>
      <c r="J171"/>
      <c r="K171"/>
      <c r="L171"/>
      <c r="M171"/>
      <c r="N171"/>
      <c r="O171"/>
    </row>
    <row r="172" spans="2:15" x14ac:dyDescent="0.3">
      <c r="B172" s="71"/>
      <c r="G172" s="71"/>
      <c r="H172" s="71"/>
      <c r="I172"/>
      <c r="J172"/>
      <c r="K172"/>
      <c r="L172"/>
      <c r="M172"/>
      <c r="N172"/>
      <c r="O172"/>
    </row>
    <row r="173" spans="2:15" x14ac:dyDescent="0.3">
      <c r="B173" s="71"/>
      <c r="G173" s="71"/>
      <c r="H173" s="71"/>
      <c r="I173"/>
      <c r="J173"/>
      <c r="K173"/>
      <c r="L173"/>
      <c r="M173"/>
      <c r="N173"/>
      <c r="O173"/>
    </row>
    <row r="174" spans="2:15" x14ac:dyDescent="0.3">
      <c r="B174" s="71"/>
      <c r="G174" s="71"/>
      <c r="H174" s="71"/>
      <c r="I174"/>
      <c r="J174"/>
      <c r="K174"/>
      <c r="L174"/>
      <c r="M174"/>
      <c r="N174"/>
      <c r="O174"/>
    </row>
    <row r="175" spans="2:15" x14ac:dyDescent="0.3">
      <c r="B175" s="71"/>
      <c r="G175" s="71"/>
      <c r="H175" s="71"/>
      <c r="I175"/>
      <c r="J175"/>
      <c r="K175"/>
      <c r="L175"/>
      <c r="M175"/>
      <c r="N175"/>
      <c r="O175"/>
    </row>
    <row r="176" spans="2:15" x14ac:dyDescent="0.3">
      <c r="B176" s="71"/>
      <c r="G176" s="71"/>
      <c r="H176" s="71"/>
      <c r="I176"/>
      <c r="J176"/>
      <c r="K176"/>
      <c r="L176"/>
      <c r="M176"/>
      <c r="N176"/>
      <c r="O176"/>
    </row>
  </sheetData>
  <mergeCells count="35">
    <mergeCell ref="A33:A36"/>
    <mergeCell ref="B33:B36"/>
    <mergeCell ref="C33:C36"/>
    <mergeCell ref="E33:E36"/>
    <mergeCell ref="A29:A32"/>
    <mergeCell ref="B29:B32"/>
    <mergeCell ref="C29:C32"/>
    <mergeCell ref="E29:E32"/>
    <mergeCell ref="D29:D32"/>
    <mergeCell ref="D33:D36"/>
    <mergeCell ref="E26:E28"/>
    <mergeCell ref="C26:C28"/>
    <mergeCell ref="B26:B28"/>
    <mergeCell ref="A26:A28"/>
    <mergeCell ref="D26:D28"/>
    <mergeCell ref="A22:A25"/>
    <mergeCell ref="B22:B25"/>
    <mergeCell ref="C22:C25"/>
    <mergeCell ref="D22:D25"/>
    <mergeCell ref="E22:E25"/>
    <mergeCell ref="D14:D17"/>
    <mergeCell ref="E14:E17"/>
    <mergeCell ref="A18:A21"/>
    <mergeCell ref="B18:B21"/>
    <mergeCell ref="C18:C21"/>
    <mergeCell ref="D18:D21"/>
    <mergeCell ref="E18:E21"/>
    <mergeCell ref="A14:A17"/>
    <mergeCell ref="B14:B17"/>
    <mergeCell ref="C14:C17"/>
    <mergeCell ref="A37:A41"/>
    <mergeCell ref="B37:B41"/>
    <mergeCell ref="C37:C41"/>
    <mergeCell ref="D37:D41"/>
    <mergeCell ref="E37:E41"/>
  </mergeCells>
  <phoneticPr fontId="27" type="noConversion"/>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7132-308C-41C3-A0D9-F967659D4650}">
  <dimension ref="A1:Q151"/>
  <sheetViews>
    <sheetView zoomScale="55" zoomScaleNormal="55" workbookViewId="0">
      <selection activeCell="A17" sqref="A17"/>
    </sheetView>
  </sheetViews>
  <sheetFormatPr baseColWidth="10" defaultRowHeight="15.6" x14ac:dyDescent="0.3"/>
  <cols>
    <col min="1" max="1" width="51.109375" style="27" customWidth="1"/>
    <col min="2" max="2" width="23.44140625" style="27" bestFit="1" customWidth="1"/>
    <col min="3" max="3" width="24.33203125" style="27" customWidth="1"/>
    <col min="4" max="4" width="27" style="27" customWidth="1"/>
    <col min="5" max="5" width="2.6640625" style="21" customWidth="1"/>
    <col min="6" max="6" width="10.109375" style="27" customWidth="1"/>
    <col min="7" max="7" width="24.44140625" style="27" customWidth="1"/>
    <col min="8" max="8" width="25.21875" style="27" customWidth="1"/>
    <col min="9" max="9" width="32.44140625" style="27" customWidth="1"/>
    <col min="10" max="10" width="28.109375" style="27" bestFit="1" customWidth="1"/>
    <col min="11" max="11" width="23.6640625" style="27" customWidth="1"/>
    <col min="12" max="12" width="26.88671875" style="27" bestFit="1" customWidth="1"/>
    <col min="13" max="13" width="19.21875" style="27" customWidth="1"/>
    <col min="14" max="14" width="26.5546875" style="27" bestFit="1" customWidth="1"/>
    <col min="15" max="15" width="20.88671875" style="27" bestFit="1" customWidth="1"/>
    <col min="16" max="16" width="42" style="27" customWidth="1"/>
    <col min="17" max="17" width="29.88671875" style="28" bestFit="1" customWidth="1"/>
    <col min="18" max="18" width="14.6640625" style="27" bestFit="1" customWidth="1"/>
    <col min="19" max="19" width="21" style="27" customWidth="1"/>
    <col min="20" max="16384" width="11.5546875" style="27"/>
  </cols>
  <sheetData>
    <row r="1" spans="1:17" ht="55.8" customHeight="1" x14ac:dyDescent="0.3">
      <c r="A1" s="164" t="s">
        <v>384</v>
      </c>
      <c r="B1" s="164"/>
      <c r="C1" s="164"/>
      <c r="D1" s="164"/>
      <c r="E1" s="164"/>
      <c r="F1" s="164"/>
      <c r="G1" s="164"/>
      <c r="H1" s="164"/>
      <c r="I1" s="164"/>
      <c r="J1" s="164"/>
      <c r="K1" s="164"/>
      <c r="L1" s="164"/>
      <c r="M1" s="164"/>
      <c r="N1" s="164"/>
      <c r="O1" s="164"/>
      <c r="P1" s="164"/>
    </row>
    <row r="14" spans="1:17" ht="39.6" customHeight="1" x14ac:dyDescent="0.35">
      <c r="A14" s="155" t="s">
        <v>387</v>
      </c>
      <c r="B14" s="155"/>
      <c r="C14" s="155"/>
      <c r="D14" s="155"/>
      <c r="E14" s="20"/>
      <c r="F14" s="155" t="s">
        <v>194</v>
      </c>
      <c r="G14" s="155"/>
      <c r="H14" s="155"/>
      <c r="I14" s="155"/>
      <c r="J14" s="155"/>
      <c r="K14" s="155"/>
      <c r="L14" s="155"/>
      <c r="M14" s="155"/>
      <c r="N14" s="155"/>
      <c r="O14" s="155"/>
      <c r="P14" s="155"/>
    </row>
    <row r="15" spans="1:17" ht="30" customHeight="1" x14ac:dyDescent="0.3">
      <c r="A15" s="34" t="s">
        <v>51</v>
      </c>
      <c r="B15" s="34" t="s">
        <v>35</v>
      </c>
      <c r="C15" s="34" t="s">
        <v>247</v>
      </c>
      <c r="D15" s="34" t="s">
        <v>514</v>
      </c>
      <c r="E15" s="63"/>
      <c r="F15" s="35"/>
      <c r="G15" s="35" t="s">
        <v>207</v>
      </c>
      <c r="H15" s="35" t="s">
        <v>208</v>
      </c>
      <c r="I15" s="35" t="s">
        <v>340</v>
      </c>
      <c r="J15" s="35" t="s">
        <v>398</v>
      </c>
      <c r="K15" s="35" t="s">
        <v>399</v>
      </c>
      <c r="L15" s="35" t="s">
        <v>209</v>
      </c>
      <c r="M15" s="35" t="s">
        <v>212</v>
      </c>
      <c r="N15" s="35" t="s">
        <v>210</v>
      </c>
      <c r="O15" s="35" t="s">
        <v>213</v>
      </c>
      <c r="P15" s="35" t="s">
        <v>211</v>
      </c>
      <c r="Q15" s="27"/>
    </row>
    <row r="16" spans="1:17" ht="25.05" customHeight="1" x14ac:dyDescent="0.35">
      <c r="A16" s="41" t="s">
        <v>193</v>
      </c>
      <c r="B16" s="37">
        <v>50</v>
      </c>
      <c r="C16" s="37">
        <v>300</v>
      </c>
      <c r="D16" s="37">
        <f>C16*B16</f>
        <v>15000</v>
      </c>
      <c r="E16" s="20"/>
      <c r="F16" s="199" t="s">
        <v>278</v>
      </c>
      <c r="G16" s="48" t="s">
        <v>195</v>
      </c>
      <c r="H16" s="48">
        <v>0</v>
      </c>
      <c r="I16" s="48">
        <v>0</v>
      </c>
      <c r="J16" s="48">
        <v>0</v>
      </c>
      <c r="K16" s="48">
        <f>J16*0.65</f>
        <v>0</v>
      </c>
      <c r="L16" s="48">
        <f>SUM($K$15:K15)</f>
        <v>0</v>
      </c>
      <c r="M16" s="48">
        <f>D49+D50</f>
        <v>22616.81</v>
      </c>
      <c r="N16" s="48">
        <f>SUM($M$16:M16)</f>
        <v>22616.81</v>
      </c>
      <c r="O16" s="48">
        <f>K16-M16</f>
        <v>-22616.81</v>
      </c>
      <c r="P16" s="48">
        <f>SUM($O$16:O16)</f>
        <v>-22616.81</v>
      </c>
      <c r="Q16" s="30"/>
    </row>
    <row r="17" spans="1:17" ht="25.05" customHeight="1" x14ac:dyDescent="0.35">
      <c r="A17" s="41" t="s">
        <v>34</v>
      </c>
      <c r="B17" s="37">
        <v>50</v>
      </c>
      <c r="C17" s="37">
        <v>330</v>
      </c>
      <c r="D17" s="37">
        <f t="shared" ref="D17:D24" si="0">C17*B17</f>
        <v>16500</v>
      </c>
      <c r="E17" s="20"/>
      <c r="F17" s="199"/>
      <c r="G17" s="48" t="s">
        <v>196</v>
      </c>
      <c r="H17" s="48">
        <v>100</v>
      </c>
      <c r="I17" s="48">
        <v>1</v>
      </c>
      <c r="J17" s="48">
        <v>0</v>
      </c>
      <c r="K17" s="48">
        <f t="shared" ref="K17:K51" si="1">J17*0.65</f>
        <v>0</v>
      </c>
      <c r="L17" s="48">
        <f>SUM($K$15:K16)</f>
        <v>0</v>
      </c>
      <c r="M17" s="48">
        <f>D49+D50</f>
        <v>22616.81</v>
      </c>
      <c r="N17" s="48">
        <f>SUM($M$16:M17)</f>
        <v>45233.62</v>
      </c>
      <c r="O17" s="48">
        <f t="shared" ref="O17:O51" si="2">K17-M17</f>
        <v>-22616.81</v>
      </c>
      <c r="P17" s="48">
        <f>SUM($O$16:O17)</f>
        <v>-45233.62</v>
      </c>
      <c r="Q17" s="27"/>
    </row>
    <row r="18" spans="1:17" ht="25.05" customHeight="1" x14ac:dyDescent="0.35">
      <c r="A18" s="41" t="s">
        <v>30</v>
      </c>
      <c r="B18" s="37">
        <f>Planning!G26+Planning!G14+Planning!G18+Planning!G29+Planning!G33+Planning!G22</f>
        <v>68</v>
      </c>
      <c r="C18" s="37">
        <v>300</v>
      </c>
      <c r="D18" s="37">
        <f t="shared" si="0"/>
        <v>20400</v>
      </c>
      <c r="E18" s="20"/>
      <c r="F18" s="199"/>
      <c r="G18" s="48" t="s">
        <v>197</v>
      </c>
      <c r="H18" s="48">
        <v>230</v>
      </c>
      <c r="I18" s="48">
        <v>0.45</v>
      </c>
      <c r="J18" s="48">
        <v>0</v>
      </c>
      <c r="K18" s="48">
        <f t="shared" si="1"/>
        <v>0</v>
      </c>
      <c r="L18" s="48">
        <f>SUM($K$15:K17)</f>
        <v>0</v>
      </c>
      <c r="M18" s="48">
        <f>D49+D50</f>
        <v>22616.81</v>
      </c>
      <c r="N18" s="48">
        <f>SUM($M$16:M18)</f>
        <v>67850.430000000008</v>
      </c>
      <c r="O18" s="48">
        <f t="shared" si="2"/>
        <v>-22616.81</v>
      </c>
      <c r="P18" s="48">
        <f>SUM($O$16:O18)</f>
        <v>-67850.430000000008</v>
      </c>
      <c r="Q18" s="27"/>
    </row>
    <row r="19" spans="1:17" ht="25.05" customHeight="1" x14ac:dyDescent="0.35">
      <c r="A19" s="41" t="s">
        <v>31</v>
      </c>
      <c r="B19" s="37">
        <f>Planning!G15+Planning!G20+Planning!G24+Planning!G30+Planning!G34+Planning!G39</f>
        <v>51</v>
      </c>
      <c r="C19" s="37">
        <v>330</v>
      </c>
      <c r="D19" s="37">
        <f t="shared" si="0"/>
        <v>16830</v>
      </c>
      <c r="E19" s="20"/>
      <c r="F19" s="199"/>
      <c r="G19" s="48" t="s">
        <v>198</v>
      </c>
      <c r="H19" s="48">
        <v>400</v>
      </c>
      <c r="I19" s="48" t="s">
        <v>525</v>
      </c>
      <c r="J19" s="48">
        <v>0</v>
      </c>
      <c r="K19" s="48">
        <f t="shared" si="1"/>
        <v>0</v>
      </c>
      <c r="L19" s="48">
        <f>SUM($K$15:K18)</f>
        <v>0</v>
      </c>
      <c r="M19" s="48">
        <f>D49+D50</f>
        <v>22616.81</v>
      </c>
      <c r="N19" s="48">
        <f>SUM($M$16:M19)</f>
        <v>90467.24</v>
      </c>
      <c r="O19" s="48">
        <f t="shared" si="2"/>
        <v>-22616.81</v>
      </c>
      <c r="P19" s="48">
        <f>SUM($O$16:O19)</f>
        <v>-90467.24</v>
      </c>
      <c r="Q19" s="27"/>
    </row>
    <row r="20" spans="1:17" ht="25.05" customHeight="1" x14ac:dyDescent="0.35">
      <c r="A20" s="41" t="s">
        <v>32</v>
      </c>
      <c r="B20" s="37">
        <f>Planning!G27+Planning!G16+Planning!G31+Planning!G35</f>
        <v>30</v>
      </c>
      <c r="C20" s="37">
        <v>270</v>
      </c>
      <c r="D20" s="37">
        <f t="shared" si="0"/>
        <v>8100</v>
      </c>
      <c r="E20" s="20"/>
      <c r="F20" s="199"/>
      <c r="G20" s="48" t="s">
        <v>199</v>
      </c>
      <c r="H20" s="48">
        <v>700</v>
      </c>
      <c r="I20" s="48">
        <v>0.4</v>
      </c>
      <c r="J20" s="48">
        <f xml:space="preserve"> 800 * 30</f>
        <v>24000</v>
      </c>
      <c r="K20" s="48">
        <f t="shared" si="1"/>
        <v>15600</v>
      </c>
      <c r="L20" s="48">
        <f>SUM($K$15:K20)</f>
        <v>15600</v>
      </c>
      <c r="M20" s="48">
        <f>D49+D50</f>
        <v>22616.81</v>
      </c>
      <c r="N20" s="48">
        <f>SUM($M$16:M20)</f>
        <v>113084.05</v>
      </c>
      <c r="O20" s="48">
        <f t="shared" si="2"/>
        <v>-7016.8100000000013</v>
      </c>
      <c r="P20" s="48">
        <f>SUM($O$16:O20)</f>
        <v>-97484.05</v>
      </c>
      <c r="Q20" s="27"/>
    </row>
    <row r="21" spans="1:17" ht="25.05" customHeight="1" x14ac:dyDescent="0.35">
      <c r="A21" s="41" t="s">
        <v>253</v>
      </c>
      <c r="B21" s="37">
        <f>Planning!G19+Planning!G38+Planning!G23</f>
        <v>45</v>
      </c>
      <c r="C21" s="37">
        <v>220</v>
      </c>
      <c r="D21" s="37">
        <f>C21*B21</f>
        <v>9900</v>
      </c>
      <c r="E21" s="20"/>
      <c r="F21" s="163" t="s">
        <v>336</v>
      </c>
      <c r="G21" s="49" t="s">
        <v>200</v>
      </c>
      <c r="H21" s="49">
        <v>1200</v>
      </c>
      <c r="I21" s="49">
        <v>0.35</v>
      </c>
      <c r="J21" s="49">
        <f xml:space="preserve"> (H21-H20) * 30 + (H20 * I21) * 50</f>
        <v>27250</v>
      </c>
      <c r="K21" s="49">
        <f t="shared" si="1"/>
        <v>17712.5</v>
      </c>
      <c r="L21" s="49">
        <f>SUM($K$15:K21)</f>
        <v>33312.5</v>
      </c>
      <c r="M21" s="49">
        <f>$D$51 + IF(H21 &lt;= 10000,$P$98, IF( H21 &lt;= 25000,$P$101, $P$104)) + IF(H21 &lt;= 10000,$P$107, IF( H21 &lt;= 25000,$P$109,$P$111)) + IF(H21 &lt;= 10000,$P$113, IF( H21 &lt;= 25000,$P$114,$P$115)) + IF(H21 &lt;= 10000,$P$116, IF( H21 &lt;= 25000,$P$117,$P$118)) +$P$119 + IF(H21 &lt;= 10000,$P$120, IF( H21 &lt;= 25000,$P$121, $P$122))</f>
        <v>3810.3315000000002</v>
      </c>
      <c r="N21" s="49">
        <f>SUM($M$16:M21)</f>
        <v>116894.3815</v>
      </c>
      <c r="O21" s="49">
        <f t="shared" si="2"/>
        <v>13902.1685</v>
      </c>
      <c r="P21" s="49">
        <f>SUM($O$16:O21)</f>
        <v>-83581.881500000003</v>
      </c>
      <c r="Q21" s="27"/>
    </row>
    <row r="22" spans="1:17" ht="25.05" customHeight="1" x14ac:dyDescent="0.35">
      <c r="A22" s="42" t="s">
        <v>524</v>
      </c>
      <c r="B22" s="37">
        <f>B21*0.4</f>
        <v>18</v>
      </c>
      <c r="C22" s="37">
        <v>600</v>
      </c>
      <c r="D22" s="37">
        <f>B22*C22</f>
        <v>10800</v>
      </c>
      <c r="E22" s="20"/>
      <c r="F22" s="163"/>
      <c r="G22" s="49" t="s">
        <v>201</v>
      </c>
      <c r="H22" s="49">
        <v>1900</v>
      </c>
      <c r="I22" s="49">
        <v>0.3</v>
      </c>
      <c r="J22" s="49">
        <f t="shared" ref="J22:J51" si="3" xml:space="preserve"> (H22-H21) * 30 + (H21 * I22) * 50</f>
        <v>39000</v>
      </c>
      <c r="K22" s="49">
        <f t="shared" si="1"/>
        <v>25350</v>
      </c>
      <c r="L22" s="49">
        <f>SUM($K$15:K22)</f>
        <v>58662.5</v>
      </c>
      <c r="M22" s="49">
        <f t="shared" ref="M22:M51" si="4">$D$51 + IF(H22 &lt;= 10000,$P$98, IF( H22 &lt;= 25000,$P$101, $P$104)) + IF(H22 &lt;= 10000,$P$107, IF( H22 &lt;= 25000,$P$109,$P$111)) + IF(H22 &lt;= 10000,$P$113, IF( H22 &lt;= 25000,$P$114,$P$115)) + IF(H22 &lt;= 10000,$P$116, IF( H22 &lt;= 25000,$P$117,$P$118)) +$P$119 + IF(H22 &lt;= 10000,$P$120, IF( H22 &lt;= 25000,$P$121, $P$122))</f>
        <v>3810.3315000000002</v>
      </c>
      <c r="N22" s="49">
        <f>SUM($M$16:M22)</f>
        <v>120704.713</v>
      </c>
      <c r="O22" s="49">
        <f t="shared" si="2"/>
        <v>21539.6685</v>
      </c>
      <c r="P22" s="49">
        <f>SUM($O$16:O22)</f>
        <v>-62042.213000000003</v>
      </c>
      <c r="Q22" s="27"/>
    </row>
    <row r="23" spans="1:17" ht="25.05" customHeight="1" x14ac:dyDescent="0.35">
      <c r="A23" s="41" t="s">
        <v>33</v>
      </c>
      <c r="B23" s="37">
        <f>Planning!G36+Planning!G32+Planning!G21+Planning!G17+Planning!G28+Planning!G25+Planning!G36</f>
        <v>41</v>
      </c>
      <c r="C23" s="37">
        <v>240</v>
      </c>
      <c r="D23" s="37">
        <f t="shared" si="0"/>
        <v>9840</v>
      </c>
      <c r="E23" s="20"/>
      <c r="F23" s="163"/>
      <c r="G23" s="49" t="s">
        <v>202</v>
      </c>
      <c r="H23" s="49">
        <v>2800</v>
      </c>
      <c r="I23" s="49">
        <v>0.25</v>
      </c>
      <c r="J23" s="49">
        <f t="shared" si="3"/>
        <v>50750</v>
      </c>
      <c r="K23" s="49">
        <f t="shared" si="1"/>
        <v>32987.5</v>
      </c>
      <c r="L23" s="49">
        <f>SUM($K$15:K23)</f>
        <v>91650</v>
      </c>
      <c r="M23" s="49">
        <f t="shared" si="4"/>
        <v>3810.3315000000002</v>
      </c>
      <c r="N23" s="49">
        <f>SUM($M$16:M23)</f>
        <v>124515.0445</v>
      </c>
      <c r="O23" s="49">
        <f t="shared" si="2"/>
        <v>29177.1685</v>
      </c>
      <c r="P23" s="49">
        <f>SUM($O$16:O23)</f>
        <v>-32865.044500000004</v>
      </c>
      <c r="Q23" s="27"/>
    </row>
    <row r="24" spans="1:17" ht="25.05" customHeight="1" x14ac:dyDescent="0.35">
      <c r="A24" s="41" t="s">
        <v>67</v>
      </c>
      <c r="B24" s="37">
        <v>10</v>
      </c>
      <c r="C24" s="37">
        <v>300</v>
      </c>
      <c r="D24" s="37">
        <f t="shared" si="0"/>
        <v>3000</v>
      </c>
      <c r="E24" s="20"/>
      <c r="F24" s="163"/>
      <c r="G24" s="49" t="s">
        <v>203</v>
      </c>
      <c r="H24" s="49">
        <v>4000</v>
      </c>
      <c r="I24" s="49">
        <v>0.2</v>
      </c>
      <c r="J24" s="49">
        <f t="shared" si="3"/>
        <v>64000</v>
      </c>
      <c r="K24" s="49">
        <f t="shared" si="1"/>
        <v>41600</v>
      </c>
      <c r="L24" s="49">
        <f>SUM($K$15:K24)</f>
        <v>133250</v>
      </c>
      <c r="M24" s="49">
        <f t="shared" si="4"/>
        <v>3810.3315000000002</v>
      </c>
      <c r="N24" s="49">
        <f>SUM($M$16:M24)</f>
        <v>128325.376</v>
      </c>
      <c r="O24" s="49">
        <f t="shared" si="2"/>
        <v>37789.6685</v>
      </c>
      <c r="P24" s="49">
        <f>SUM($O$16:O24)</f>
        <v>4924.6239999999962</v>
      </c>
      <c r="Q24" s="27"/>
    </row>
    <row r="25" spans="1:17" ht="25.05" customHeight="1" x14ac:dyDescent="0.35">
      <c r="A25" s="43" t="s">
        <v>192</v>
      </c>
      <c r="B25" s="44"/>
      <c r="C25" s="44"/>
      <c r="D25" s="62">
        <f>SUM(D16:D24)</f>
        <v>110370</v>
      </c>
      <c r="E25" s="20"/>
      <c r="F25" s="163"/>
      <c r="G25" s="49" t="s">
        <v>204</v>
      </c>
      <c r="H25" s="49">
        <v>5500</v>
      </c>
      <c r="I25" s="49">
        <v>0.15</v>
      </c>
      <c r="J25" s="49">
        <f t="shared" si="3"/>
        <v>75000</v>
      </c>
      <c r="K25" s="49">
        <f t="shared" si="1"/>
        <v>48750</v>
      </c>
      <c r="L25" s="49">
        <f>SUM($K$15:K25)</f>
        <v>182000</v>
      </c>
      <c r="M25" s="49">
        <f t="shared" si="4"/>
        <v>3810.3315000000002</v>
      </c>
      <c r="N25" s="49">
        <f>SUM($M$16:M25)</f>
        <v>132135.70750000002</v>
      </c>
      <c r="O25" s="49">
        <f t="shared" si="2"/>
        <v>44939.6685</v>
      </c>
      <c r="P25" s="49">
        <f>SUM($O$16:O25)</f>
        <v>49864.292499999996</v>
      </c>
      <c r="Q25" s="27"/>
    </row>
    <row r="26" spans="1:17" ht="25.05" customHeight="1" x14ac:dyDescent="0.35">
      <c r="A26" s="151" t="s">
        <v>388</v>
      </c>
      <c r="B26" s="152"/>
      <c r="C26" s="152"/>
      <c r="D26" s="153"/>
      <c r="E26" s="20"/>
      <c r="F26" s="163"/>
      <c r="G26" s="49" t="s">
        <v>205</v>
      </c>
      <c r="H26" s="49">
        <v>7300</v>
      </c>
      <c r="I26" s="49">
        <v>0.1</v>
      </c>
      <c r="J26" s="49">
        <f t="shared" si="3"/>
        <v>81500</v>
      </c>
      <c r="K26" s="49">
        <f t="shared" si="1"/>
        <v>52975</v>
      </c>
      <c r="L26" s="49">
        <f>SUM($K$15:K26)</f>
        <v>234975</v>
      </c>
      <c r="M26" s="49">
        <f t="shared" si="4"/>
        <v>3810.3315000000002</v>
      </c>
      <c r="N26" s="49">
        <f>SUM($M$16:M26)</f>
        <v>135946.03900000002</v>
      </c>
      <c r="O26" s="49">
        <f t="shared" si="2"/>
        <v>49164.6685</v>
      </c>
      <c r="P26" s="49">
        <f>SUM($O$16:O26)</f>
        <v>99028.960999999996</v>
      </c>
      <c r="Q26" s="27"/>
    </row>
    <row r="27" spans="1:17" ht="25.05" customHeight="1" x14ac:dyDescent="0.35">
      <c r="A27" s="154"/>
      <c r="B27" s="155"/>
      <c r="C27" s="155"/>
      <c r="D27" s="156"/>
      <c r="E27" s="20"/>
      <c r="F27" s="163"/>
      <c r="G27" s="49" t="s">
        <v>206</v>
      </c>
      <c r="H27" s="49">
        <v>9300</v>
      </c>
      <c r="I27" s="49">
        <v>0.1</v>
      </c>
      <c r="J27" s="49">
        <f t="shared" si="3"/>
        <v>96500</v>
      </c>
      <c r="K27" s="49">
        <f t="shared" si="1"/>
        <v>62725</v>
      </c>
      <c r="L27" s="49">
        <f>SUM($K$15:K27)</f>
        <v>297700</v>
      </c>
      <c r="M27" s="49">
        <f t="shared" si="4"/>
        <v>3810.3315000000002</v>
      </c>
      <c r="N27" s="49">
        <f>SUM($M$16:M27)</f>
        <v>139756.37050000002</v>
      </c>
      <c r="O27" s="49">
        <f t="shared" si="2"/>
        <v>58914.6685</v>
      </c>
      <c r="P27" s="49">
        <f>SUM($O$16:O27)</f>
        <v>157943.62949999998</v>
      </c>
      <c r="Q27" s="27"/>
    </row>
    <row r="28" spans="1:17" ht="25.05" customHeight="1" x14ac:dyDescent="0.35">
      <c r="A28" s="157" t="s">
        <v>52</v>
      </c>
      <c r="B28" s="159" t="s">
        <v>239</v>
      </c>
      <c r="C28" s="160"/>
      <c r="D28" s="159" t="s">
        <v>360</v>
      </c>
      <c r="E28" s="20"/>
      <c r="F28" s="163"/>
      <c r="G28" s="49" t="s">
        <v>214</v>
      </c>
      <c r="H28" s="49">
        <v>11500</v>
      </c>
      <c r="I28" s="49">
        <v>0.1</v>
      </c>
      <c r="J28" s="49">
        <f t="shared" si="3"/>
        <v>112500</v>
      </c>
      <c r="K28" s="49">
        <f t="shared" si="1"/>
        <v>73125</v>
      </c>
      <c r="L28" s="49">
        <f>SUM($K$15:K28)</f>
        <v>370825</v>
      </c>
      <c r="M28" s="49">
        <f t="shared" si="4"/>
        <v>4182.0515000000005</v>
      </c>
      <c r="N28" s="49">
        <f>SUM($M$16:M28)</f>
        <v>143938.42200000002</v>
      </c>
      <c r="O28" s="49">
        <f t="shared" si="2"/>
        <v>68942.948499999999</v>
      </c>
      <c r="P28" s="49">
        <f>SUM($O$16:O28)</f>
        <v>226886.57799999998</v>
      </c>
      <c r="Q28" s="27"/>
    </row>
    <row r="29" spans="1:17" ht="25.05" customHeight="1" x14ac:dyDescent="0.35">
      <c r="A29" s="158"/>
      <c r="B29" s="161"/>
      <c r="C29" s="162"/>
      <c r="D29" s="161"/>
      <c r="E29" s="20"/>
      <c r="F29" s="163"/>
      <c r="G29" s="49" t="s">
        <v>215</v>
      </c>
      <c r="H29" s="49">
        <v>13800</v>
      </c>
      <c r="I29" s="49">
        <v>0.1</v>
      </c>
      <c r="J29" s="49">
        <f t="shared" si="3"/>
        <v>126500</v>
      </c>
      <c r="K29" s="49">
        <f t="shared" si="1"/>
        <v>82225</v>
      </c>
      <c r="L29" s="49">
        <f>SUM($K$15:K29)</f>
        <v>453050</v>
      </c>
      <c r="M29" s="49">
        <f t="shared" si="4"/>
        <v>4182.0515000000005</v>
      </c>
      <c r="N29" s="49">
        <f>SUM($M$16:M29)</f>
        <v>148120.47350000002</v>
      </c>
      <c r="O29" s="49">
        <f t="shared" si="2"/>
        <v>78042.948499999999</v>
      </c>
      <c r="P29" s="49">
        <f>SUM($O$16:O29)</f>
        <v>304929.52649999998</v>
      </c>
      <c r="Q29" s="27"/>
    </row>
    <row r="30" spans="1:17" ht="25.05" customHeight="1" x14ac:dyDescent="0.35">
      <c r="A30" s="196" t="s">
        <v>36</v>
      </c>
      <c r="B30" s="197"/>
      <c r="C30" s="197"/>
      <c r="D30" s="198"/>
      <c r="E30" s="20"/>
      <c r="F30" s="163"/>
      <c r="G30" s="49" t="s">
        <v>216</v>
      </c>
      <c r="H30" s="49">
        <v>15200</v>
      </c>
      <c r="I30" s="49">
        <v>0.1</v>
      </c>
      <c r="J30" s="49">
        <f t="shared" si="3"/>
        <v>111000</v>
      </c>
      <c r="K30" s="49">
        <f t="shared" si="1"/>
        <v>72150</v>
      </c>
      <c r="L30" s="49">
        <f>SUM($K$15:K30)</f>
        <v>525200</v>
      </c>
      <c r="M30" s="49">
        <f t="shared" si="4"/>
        <v>4182.0515000000005</v>
      </c>
      <c r="N30" s="49">
        <f>SUM($M$16:M30)</f>
        <v>152302.52500000002</v>
      </c>
      <c r="O30" s="49">
        <f t="shared" si="2"/>
        <v>67967.948499999999</v>
      </c>
      <c r="P30" s="49">
        <f>SUM($O$16:O30)</f>
        <v>372897.47499999998</v>
      </c>
      <c r="Q30" s="27"/>
    </row>
    <row r="31" spans="1:17" ht="25.05" customHeight="1" x14ac:dyDescent="0.35">
      <c r="A31" s="194" t="s">
        <v>240</v>
      </c>
      <c r="B31" s="176" t="s">
        <v>252</v>
      </c>
      <c r="C31" s="178"/>
      <c r="D31" s="137">
        <f>P90</f>
        <v>360</v>
      </c>
      <c r="E31" s="20"/>
      <c r="F31" s="163"/>
      <c r="G31" s="49" t="s">
        <v>217</v>
      </c>
      <c r="H31" s="49">
        <v>16400</v>
      </c>
      <c r="I31" s="49">
        <v>0.1</v>
      </c>
      <c r="J31" s="49">
        <f t="shared" si="3"/>
        <v>112000</v>
      </c>
      <c r="K31" s="49">
        <f t="shared" si="1"/>
        <v>72800</v>
      </c>
      <c r="L31" s="49">
        <f>SUM($K$15:K31)</f>
        <v>598000</v>
      </c>
      <c r="M31" s="49">
        <f t="shared" si="4"/>
        <v>4182.0515000000005</v>
      </c>
      <c r="N31" s="49">
        <f>SUM($M$16:M31)</f>
        <v>156484.57650000002</v>
      </c>
      <c r="O31" s="49">
        <f t="shared" si="2"/>
        <v>68617.948499999999</v>
      </c>
      <c r="P31" s="49">
        <f>SUM($O$16:O31)</f>
        <v>441515.42349999998</v>
      </c>
      <c r="Q31" s="27"/>
    </row>
    <row r="32" spans="1:17" ht="25.05" customHeight="1" x14ac:dyDescent="0.35">
      <c r="A32" s="195"/>
      <c r="B32" s="182"/>
      <c r="C32" s="184"/>
      <c r="D32" s="137"/>
      <c r="E32" s="20"/>
      <c r="F32" s="163"/>
      <c r="G32" s="49" t="s">
        <v>218</v>
      </c>
      <c r="H32" s="49">
        <v>17500</v>
      </c>
      <c r="I32" s="49">
        <v>0.1</v>
      </c>
      <c r="J32" s="49">
        <f t="shared" si="3"/>
        <v>115000</v>
      </c>
      <c r="K32" s="49">
        <f t="shared" si="1"/>
        <v>74750</v>
      </c>
      <c r="L32" s="49">
        <f>SUM($K$15:K32)</f>
        <v>672750</v>
      </c>
      <c r="M32" s="49">
        <f t="shared" si="4"/>
        <v>4182.0515000000005</v>
      </c>
      <c r="N32" s="49">
        <f>SUM($M$16:M32)</f>
        <v>160666.62800000003</v>
      </c>
      <c r="O32" s="49">
        <f t="shared" si="2"/>
        <v>70567.948499999999</v>
      </c>
      <c r="P32" s="49">
        <f>SUM($O$16:O32)</f>
        <v>512083.37199999997</v>
      </c>
      <c r="Q32" s="27"/>
    </row>
    <row r="33" spans="1:17" ht="25.05" customHeight="1" x14ac:dyDescent="0.35">
      <c r="A33" s="41" t="s">
        <v>241</v>
      </c>
      <c r="B33" s="148" t="s">
        <v>242</v>
      </c>
      <c r="C33" s="150"/>
      <c r="D33" s="37">
        <f>P85</f>
        <v>70</v>
      </c>
      <c r="E33" s="20"/>
      <c r="F33" s="163"/>
      <c r="G33" s="49" t="s">
        <v>219</v>
      </c>
      <c r="H33" s="49">
        <v>18500</v>
      </c>
      <c r="I33" s="49">
        <v>0.1</v>
      </c>
      <c r="J33" s="49">
        <f t="shared" si="3"/>
        <v>117500</v>
      </c>
      <c r="K33" s="49">
        <f t="shared" si="1"/>
        <v>76375</v>
      </c>
      <c r="L33" s="49">
        <f>SUM($K$15:K33)</f>
        <v>749125</v>
      </c>
      <c r="M33" s="49">
        <f t="shared" si="4"/>
        <v>4182.0515000000005</v>
      </c>
      <c r="N33" s="49">
        <f>SUM($M$16:M33)</f>
        <v>164848.67950000003</v>
      </c>
      <c r="O33" s="49">
        <f t="shared" si="2"/>
        <v>72192.948499999999</v>
      </c>
      <c r="P33" s="49">
        <f>SUM($O$16:O33)</f>
        <v>584276.32049999991</v>
      </c>
      <c r="Q33" s="27"/>
    </row>
    <row r="34" spans="1:17" ht="25.05" customHeight="1" x14ac:dyDescent="0.35">
      <c r="A34" s="41" t="s">
        <v>334</v>
      </c>
      <c r="B34" s="148" t="s">
        <v>242</v>
      </c>
      <c r="C34" s="150"/>
      <c r="D34" s="37">
        <f>P88</f>
        <v>1.81</v>
      </c>
      <c r="E34" s="20"/>
      <c r="F34" s="192" t="s">
        <v>337</v>
      </c>
      <c r="G34" s="50" t="s">
        <v>220</v>
      </c>
      <c r="H34" s="50">
        <v>19400</v>
      </c>
      <c r="I34" s="50">
        <v>0.1</v>
      </c>
      <c r="J34" s="50">
        <f t="shared" si="3"/>
        <v>119500</v>
      </c>
      <c r="K34" s="50">
        <f t="shared" si="1"/>
        <v>77675</v>
      </c>
      <c r="L34" s="50">
        <f>SUM($K$15:K34)</f>
        <v>826800</v>
      </c>
      <c r="M34" s="50">
        <f t="shared" si="4"/>
        <v>4182.0515000000005</v>
      </c>
      <c r="N34" s="50">
        <f>SUM($M$16:M34)</f>
        <v>169030.73100000003</v>
      </c>
      <c r="O34" s="50">
        <f t="shared" si="2"/>
        <v>73492.948499999999</v>
      </c>
      <c r="P34" s="50">
        <f>SUM($O$16:O34)</f>
        <v>657769.26899999985</v>
      </c>
      <c r="Q34" s="27"/>
    </row>
    <row r="35" spans="1:17" ht="25.05" customHeight="1" x14ac:dyDescent="0.35">
      <c r="A35" s="41" t="s">
        <v>243</v>
      </c>
      <c r="B35" s="148" t="s">
        <v>245</v>
      </c>
      <c r="C35" s="150"/>
      <c r="D35" s="37">
        <f xml:space="preserve"> P91</f>
        <v>69</v>
      </c>
      <c r="E35" s="20"/>
      <c r="F35" s="192"/>
      <c r="G35" s="50" t="s">
        <v>221</v>
      </c>
      <c r="H35" s="50">
        <v>20300</v>
      </c>
      <c r="I35" s="50">
        <v>0.1</v>
      </c>
      <c r="J35" s="50">
        <f t="shared" si="3"/>
        <v>124000</v>
      </c>
      <c r="K35" s="50">
        <f t="shared" si="1"/>
        <v>80600</v>
      </c>
      <c r="L35" s="50">
        <f>SUM($K$15:K35)</f>
        <v>907400</v>
      </c>
      <c r="M35" s="50">
        <f t="shared" si="4"/>
        <v>4182.0515000000005</v>
      </c>
      <c r="N35" s="50">
        <f>SUM($M$16:M35)</f>
        <v>173212.78250000003</v>
      </c>
      <c r="O35" s="50">
        <f t="shared" si="2"/>
        <v>76417.948499999999</v>
      </c>
      <c r="P35" s="50">
        <f>SUM($O$16:O35)</f>
        <v>734187.2174999998</v>
      </c>
      <c r="Q35" s="27"/>
    </row>
    <row r="36" spans="1:17" ht="25.05" customHeight="1" x14ac:dyDescent="0.35">
      <c r="A36" s="41" t="s">
        <v>244</v>
      </c>
      <c r="B36" s="148" t="s">
        <v>246</v>
      </c>
      <c r="C36" s="150"/>
      <c r="D36" s="37">
        <f>P92</f>
        <v>5</v>
      </c>
      <c r="E36" s="20"/>
      <c r="F36" s="192"/>
      <c r="G36" s="50" t="s">
        <v>222</v>
      </c>
      <c r="H36" s="50">
        <v>21100</v>
      </c>
      <c r="I36" s="50">
        <v>0.1</v>
      </c>
      <c r="J36" s="50">
        <f t="shared" si="3"/>
        <v>125500</v>
      </c>
      <c r="K36" s="50">
        <f t="shared" si="1"/>
        <v>81575</v>
      </c>
      <c r="L36" s="50">
        <f>SUM($K$15:K36)</f>
        <v>988975</v>
      </c>
      <c r="M36" s="50">
        <f t="shared" si="4"/>
        <v>4182.0515000000005</v>
      </c>
      <c r="N36" s="50">
        <f>SUM($M$16:M36)</f>
        <v>177394.83400000003</v>
      </c>
      <c r="O36" s="50">
        <f t="shared" si="2"/>
        <v>77392.948499999999</v>
      </c>
      <c r="P36" s="50">
        <f>SUM($O$16:O36)</f>
        <v>811580.16599999974</v>
      </c>
      <c r="Q36" s="27"/>
    </row>
    <row r="37" spans="1:17" ht="25.05" customHeight="1" x14ac:dyDescent="0.35">
      <c r="A37" s="41" t="s">
        <v>250</v>
      </c>
      <c r="B37" s="148" t="s">
        <v>251</v>
      </c>
      <c r="C37" s="150"/>
      <c r="D37" s="37">
        <f>P93</f>
        <v>37</v>
      </c>
      <c r="E37" s="20"/>
      <c r="F37" s="192"/>
      <c r="G37" s="50" t="s">
        <v>223</v>
      </c>
      <c r="H37" s="50">
        <v>21900</v>
      </c>
      <c r="I37" s="50">
        <v>0.1</v>
      </c>
      <c r="J37" s="50">
        <f xml:space="preserve"> (H37-H36) * 30 + (H36 * I37) * 50</f>
        <v>129500</v>
      </c>
      <c r="K37" s="50">
        <f t="shared" si="1"/>
        <v>84175</v>
      </c>
      <c r="L37" s="50">
        <f>SUM($K$15:K37)</f>
        <v>1073150</v>
      </c>
      <c r="M37" s="50">
        <f t="shared" si="4"/>
        <v>4182.0515000000005</v>
      </c>
      <c r="N37" s="50">
        <f>SUM($M$16:M37)</f>
        <v>181576.88550000003</v>
      </c>
      <c r="O37" s="50">
        <f t="shared" si="2"/>
        <v>79992.948499999999</v>
      </c>
      <c r="P37" s="50">
        <f>SUM($O$16:O37)</f>
        <v>891573.11449999968</v>
      </c>
      <c r="Q37" s="27"/>
    </row>
    <row r="38" spans="1:17" ht="25.05" customHeight="1" x14ac:dyDescent="0.35">
      <c r="A38" s="43" t="s">
        <v>192</v>
      </c>
      <c r="B38" s="165"/>
      <c r="C38" s="166"/>
      <c r="D38" s="62">
        <f>SUM(D31:D37)</f>
        <v>542.80999999999995</v>
      </c>
      <c r="E38" s="20"/>
      <c r="F38" s="192"/>
      <c r="G38" s="50" t="s">
        <v>224</v>
      </c>
      <c r="H38" s="50">
        <v>22600</v>
      </c>
      <c r="I38" s="50">
        <v>0.1</v>
      </c>
      <c r="J38" s="50">
        <f t="shared" si="3"/>
        <v>130500</v>
      </c>
      <c r="K38" s="50">
        <f t="shared" si="1"/>
        <v>84825</v>
      </c>
      <c r="L38" s="50">
        <f>SUM($K$15:K38)</f>
        <v>1157975</v>
      </c>
      <c r="M38" s="50">
        <f t="shared" si="4"/>
        <v>4182.0515000000005</v>
      </c>
      <c r="N38" s="50">
        <f>SUM($M$16:M38)</f>
        <v>185758.93700000003</v>
      </c>
      <c r="O38" s="50">
        <f t="shared" si="2"/>
        <v>80642.948499999999</v>
      </c>
      <c r="P38" s="50">
        <f>SUM($O$16:O38)</f>
        <v>972216.06299999962</v>
      </c>
      <c r="Q38" s="27"/>
    </row>
    <row r="39" spans="1:17" ht="25.05" customHeight="1" x14ac:dyDescent="0.35">
      <c r="A39" s="196" t="s">
        <v>37</v>
      </c>
      <c r="B39" s="197"/>
      <c r="C39" s="197"/>
      <c r="D39" s="198"/>
      <c r="E39" s="20"/>
      <c r="F39" s="192"/>
      <c r="G39" s="50" t="s">
        <v>225</v>
      </c>
      <c r="H39" s="50">
        <v>23200</v>
      </c>
      <c r="I39" s="50">
        <v>0.1</v>
      </c>
      <c r="J39" s="50">
        <f t="shared" si="3"/>
        <v>131000</v>
      </c>
      <c r="K39" s="50">
        <f t="shared" si="1"/>
        <v>85150</v>
      </c>
      <c r="L39" s="50">
        <f>SUM($K$15:K39)</f>
        <v>1243125</v>
      </c>
      <c r="M39" s="50">
        <f t="shared" si="4"/>
        <v>4182.0515000000005</v>
      </c>
      <c r="N39" s="50">
        <f>SUM($M$16:M39)</f>
        <v>189940.98850000004</v>
      </c>
      <c r="O39" s="50">
        <f t="shared" si="2"/>
        <v>80967.948499999999</v>
      </c>
      <c r="P39" s="50">
        <f>SUM($O$16:O39)</f>
        <v>1053184.0114999996</v>
      </c>
      <c r="Q39" s="27"/>
    </row>
    <row r="40" spans="1:17" ht="25.05" customHeight="1" x14ac:dyDescent="0.35">
      <c r="A40" s="194" t="s">
        <v>240</v>
      </c>
      <c r="B40" s="176" t="s">
        <v>459</v>
      </c>
      <c r="C40" s="178"/>
      <c r="D40" s="137" t="s">
        <v>335</v>
      </c>
      <c r="E40" s="20"/>
      <c r="F40" s="192"/>
      <c r="G40" s="50" t="s">
        <v>226</v>
      </c>
      <c r="H40" s="50">
        <v>23800</v>
      </c>
      <c r="I40" s="50">
        <v>0.1</v>
      </c>
      <c r="J40" s="50">
        <f t="shared" si="3"/>
        <v>134000</v>
      </c>
      <c r="K40" s="50">
        <f t="shared" si="1"/>
        <v>87100</v>
      </c>
      <c r="L40" s="50">
        <f>SUM($K$15:K40)</f>
        <v>1330225</v>
      </c>
      <c r="M40" s="50">
        <f t="shared" si="4"/>
        <v>4182.0515000000005</v>
      </c>
      <c r="N40" s="50">
        <f>SUM($M$16:M40)</f>
        <v>194123.04000000004</v>
      </c>
      <c r="O40" s="50">
        <f t="shared" si="2"/>
        <v>82917.948499999999</v>
      </c>
      <c r="P40" s="50">
        <f>SUM($O$16:O40)</f>
        <v>1136101.9599999995</v>
      </c>
      <c r="Q40" s="27"/>
    </row>
    <row r="41" spans="1:17" ht="25.05" customHeight="1" x14ac:dyDescent="0.35">
      <c r="A41" s="195"/>
      <c r="B41" s="182"/>
      <c r="C41" s="184"/>
      <c r="D41" s="137"/>
      <c r="E41" s="20"/>
      <c r="F41" s="192"/>
      <c r="G41" s="50" t="s">
        <v>227</v>
      </c>
      <c r="H41" s="50">
        <v>24400</v>
      </c>
      <c r="I41" s="50">
        <v>0.1</v>
      </c>
      <c r="J41" s="50">
        <f t="shared" si="3"/>
        <v>137000</v>
      </c>
      <c r="K41" s="50">
        <f t="shared" si="1"/>
        <v>89050</v>
      </c>
      <c r="L41" s="50">
        <f>SUM($K$15:K41)</f>
        <v>1419275</v>
      </c>
      <c r="M41" s="50">
        <f t="shared" si="4"/>
        <v>4182.0515000000005</v>
      </c>
      <c r="N41" s="50">
        <f>SUM($M$16:M41)</f>
        <v>198305.09150000004</v>
      </c>
      <c r="O41" s="50">
        <f t="shared" si="2"/>
        <v>84867.948499999999</v>
      </c>
      <c r="P41" s="50">
        <f>SUM($O$16:O41)</f>
        <v>1220969.9084999994</v>
      </c>
      <c r="Q41" s="27"/>
    </row>
    <row r="42" spans="1:17" ht="25.05" customHeight="1" x14ac:dyDescent="0.35">
      <c r="A42" s="41" t="s">
        <v>241</v>
      </c>
      <c r="B42" s="148" t="s">
        <v>242</v>
      </c>
      <c r="C42" s="150"/>
      <c r="D42" s="37" t="s">
        <v>335</v>
      </c>
      <c r="E42" s="20"/>
      <c r="F42" s="192"/>
      <c r="G42" s="50" t="s">
        <v>228</v>
      </c>
      <c r="H42" s="50">
        <v>25000</v>
      </c>
      <c r="I42" s="50">
        <v>0.1</v>
      </c>
      <c r="J42" s="50">
        <f t="shared" si="3"/>
        <v>140000</v>
      </c>
      <c r="K42" s="50">
        <f t="shared" si="1"/>
        <v>91000</v>
      </c>
      <c r="L42" s="50">
        <f>SUM($K$15:K42)</f>
        <v>1510275</v>
      </c>
      <c r="M42" s="50">
        <f t="shared" si="4"/>
        <v>4182.0515000000005</v>
      </c>
      <c r="N42" s="50">
        <f>SUM($M$16:M42)</f>
        <v>202487.14300000004</v>
      </c>
      <c r="O42" s="50">
        <f t="shared" si="2"/>
        <v>86817.948499999999</v>
      </c>
      <c r="P42" s="50">
        <f>SUM($O$16:O42)</f>
        <v>1307787.8569999994</v>
      </c>
      <c r="Q42" s="27"/>
    </row>
    <row r="43" spans="1:17" ht="25.05" customHeight="1" x14ac:dyDescent="0.35">
      <c r="A43" s="41" t="s">
        <v>334</v>
      </c>
      <c r="B43" s="148" t="s">
        <v>242</v>
      </c>
      <c r="C43" s="150"/>
      <c r="D43" s="37" t="s">
        <v>335</v>
      </c>
      <c r="E43" s="20"/>
      <c r="F43" s="192"/>
      <c r="G43" s="50" t="s">
        <v>229</v>
      </c>
      <c r="H43" s="50">
        <v>25400</v>
      </c>
      <c r="I43" s="50">
        <v>0.1</v>
      </c>
      <c r="J43" s="50">
        <f t="shared" si="3"/>
        <v>137000</v>
      </c>
      <c r="K43" s="50">
        <f t="shared" si="1"/>
        <v>89050</v>
      </c>
      <c r="L43" s="50">
        <f>SUM($K$15:K43)</f>
        <v>1599325</v>
      </c>
      <c r="M43" s="50">
        <f t="shared" si="4"/>
        <v>4697.5815000000002</v>
      </c>
      <c r="N43" s="50">
        <f>SUM($M$16:M43)</f>
        <v>207184.72450000004</v>
      </c>
      <c r="O43" s="50">
        <f t="shared" si="2"/>
        <v>84352.4185</v>
      </c>
      <c r="P43" s="50">
        <f>SUM($O$16:O43)</f>
        <v>1392140.2754999993</v>
      </c>
      <c r="Q43" s="27"/>
    </row>
    <row r="44" spans="1:17" ht="25.05" customHeight="1" x14ac:dyDescent="0.35">
      <c r="A44" s="41" t="s">
        <v>243</v>
      </c>
      <c r="B44" s="148" t="s">
        <v>245</v>
      </c>
      <c r="C44" s="150"/>
      <c r="D44" s="37" t="s">
        <v>335</v>
      </c>
      <c r="E44" s="20"/>
      <c r="F44" s="192"/>
      <c r="G44" s="50" t="s">
        <v>230</v>
      </c>
      <c r="H44" s="50">
        <v>25800</v>
      </c>
      <c r="I44" s="50">
        <v>0.1</v>
      </c>
      <c r="J44" s="50">
        <f t="shared" si="3"/>
        <v>139000</v>
      </c>
      <c r="K44" s="50">
        <f t="shared" si="1"/>
        <v>90350</v>
      </c>
      <c r="L44" s="50">
        <f>SUM($K$15:K44)</f>
        <v>1689675</v>
      </c>
      <c r="M44" s="50">
        <f t="shared" si="4"/>
        <v>4697.5815000000002</v>
      </c>
      <c r="N44" s="50">
        <f>SUM($M$16:M44)</f>
        <v>211882.30600000004</v>
      </c>
      <c r="O44" s="50">
        <f t="shared" si="2"/>
        <v>85652.4185</v>
      </c>
      <c r="P44" s="50">
        <f>SUM($O$16:O44)</f>
        <v>1477792.6939999992</v>
      </c>
      <c r="Q44" s="27"/>
    </row>
    <row r="45" spans="1:17" ht="25.05" customHeight="1" x14ac:dyDescent="0.35">
      <c r="A45" s="41" t="s">
        <v>244</v>
      </c>
      <c r="B45" s="148" t="s">
        <v>246</v>
      </c>
      <c r="C45" s="150"/>
      <c r="D45" s="37">
        <f>P119</f>
        <v>5</v>
      </c>
      <c r="E45" s="20"/>
      <c r="F45" s="192"/>
      <c r="G45" s="50" t="s">
        <v>231</v>
      </c>
      <c r="H45" s="50">
        <v>26200</v>
      </c>
      <c r="I45" s="50">
        <v>0.1</v>
      </c>
      <c r="J45" s="50">
        <f t="shared" si="3"/>
        <v>141000</v>
      </c>
      <c r="K45" s="50">
        <f t="shared" si="1"/>
        <v>91650</v>
      </c>
      <c r="L45" s="50">
        <f>SUM($K$15:K45)</f>
        <v>1781325</v>
      </c>
      <c r="M45" s="50">
        <f t="shared" si="4"/>
        <v>4697.5815000000002</v>
      </c>
      <c r="N45" s="50">
        <f>SUM($M$16:M45)</f>
        <v>216579.88750000004</v>
      </c>
      <c r="O45" s="50">
        <f t="shared" si="2"/>
        <v>86952.4185</v>
      </c>
      <c r="P45" s="50">
        <f>SUM($O$16:O45)</f>
        <v>1564745.1124999991</v>
      </c>
      <c r="Q45" s="27"/>
    </row>
    <row r="46" spans="1:17" ht="25.05" customHeight="1" x14ac:dyDescent="0.35">
      <c r="A46" s="41" t="s">
        <v>250</v>
      </c>
      <c r="B46" s="148" t="s">
        <v>251</v>
      </c>
      <c r="C46" s="150"/>
      <c r="D46" s="37" t="s">
        <v>335</v>
      </c>
      <c r="E46" s="20"/>
      <c r="F46" s="193" t="s">
        <v>338</v>
      </c>
      <c r="G46" s="51" t="s">
        <v>232</v>
      </c>
      <c r="H46" s="51">
        <v>26500</v>
      </c>
      <c r="I46" s="51">
        <v>0.1</v>
      </c>
      <c r="J46" s="51">
        <f t="shared" si="3"/>
        <v>140000</v>
      </c>
      <c r="K46" s="51">
        <f t="shared" si="1"/>
        <v>91000</v>
      </c>
      <c r="L46" s="51">
        <f>SUM($K$15:K46)</f>
        <v>1872325</v>
      </c>
      <c r="M46" s="51">
        <f t="shared" si="4"/>
        <v>4697.5815000000002</v>
      </c>
      <c r="N46" s="51">
        <f>SUM($M$16:M46)</f>
        <v>221277.46900000004</v>
      </c>
      <c r="O46" s="51">
        <f t="shared" si="2"/>
        <v>86302.4185</v>
      </c>
      <c r="P46" s="51">
        <f>SUM($O$16:O46)</f>
        <v>1651047.530999999</v>
      </c>
      <c r="Q46" s="27"/>
    </row>
    <row r="47" spans="1:17" ht="25.05" customHeight="1" x14ac:dyDescent="0.35">
      <c r="A47" s="33" t="s">
        <v>192</v>
      </c>
      <c r="B47" s="167"/>
      <c r="C47" s="168"/>
      <c r="D47" s="69"/>
      <c r="E47" s="20"/>
      <c r="F47" s="193"/>
      <c r="G47" s="51" t="s">
        <v>233</v>
      </c>
      <c r="H47" s="51">
        <v>26800</v>
      </c>
      <c r="I47" s="51">
        <v>0.1</v>
      </c>
      <c r="J47" s="51">
        <f t="shared" si="3"/>
        <v>141500</v>
      </c>
      <c r="K47" s="51">
        <f t="shared" si="1"/>
        <v>91975</v>
      </c>
      <c r="L47" s="51">
        <f>SUM($K$15:K47)</f>
        <v>1964300</v>
      </c>
      <c r="M47" s="51">
        <f t="shared" si="4"/>
        <v>4697.5815000000002</v>
      </c>
      <c r="N47" s="51">
        <f>SUM($M$16:M47)</f>
        <v>225975.05050000004</v>
      </c>
      <c r="O47" s="51">
        <f t="shared" si="2"/>
        <v>87277.4185</v>
      </c>
      <c r="P47" s="51">
        <f>SUM($O$16:O47)</f>
        <v>1738324.9494999989</v>
      </c>
      <c r="Q47" s="27"/>
    </row>
    <row r="48" spans="1:17" ht="25.05" customHeight="1" x14ac:dyDescent="0.4">
      <c r="A48" s="200" t="s">
        <v>38</v>
      </c>
      <c r="B48" s="201"/>
      <c r="C48" s="201"/>
      <c r="D48" s="202"/>
      <c r="E48" s="20"/>
      <c r="F48" s="193"/>
      <c r="G48" s="51" t="s">
        <v>234</v>
      </c>
      <c r="H48" s="51">
        <v>27100</v>
      </c>
      <c r="I48" s="51">
        <v>0.1</v>
      </c>
      <c r="J48" s="51">
        <f t="shared" si="3"/>
        <v>143000</v>
      </c>
      <c r="K48" s="51">
        <f t="shared" si="1"/>
        <v>92950</v>
      </c>
      <c r="L48" s="51">
        <f>SUM($K$15:K48)</f>
        <v>2057250</v>
      </c>
      <c r="M48" s="51">
        <f t="shared" si="4"/>
        <v>4697.5815000000002</v>
      </c>
      <c r="N48" s="51">
        <f>SUM($M$16:M48)</f>
        <v>230672.63200000004</v>
      </c>
      <c r="O48" s="51">
        <f t="shared" si="2"/>
        <v>88252.4185</v>
      </c>
      <c r="P48" s="51">
        <f>SUM($O$16:O48)</f>
        <v>1826577.3679999989</v>
      </c>
      <c r="Q48" s="27"/>
    </row>
    <row r="49" spans="1:17" ht="25.05" customHeight="1" x14ac:dyDescent="0.4">
      <c r="A49" s="45" t="s">
        <v>248</v>
      </c>
      <c r="B49" s="46"/>
      <c r="C49" s="47"/>
      <c r="D49" s="38">
        <f>D25 / 5</f>
        <v>22074</v>
      </c>
      <c r="E49" s="20"/>
      <c r="F49" s="193"/>
      <c r="G49" s="51" t="s">
        <v>235</v>
      </c>
      <c r="H49" s="51">
        <v>27300</v>
      </c>
      <c r="I49" s="51">
        <v>0.1</v>
      </c>
      <c r="J49" s="51">
        <f t="shared" si="3"/>
        <v>141500</v>
      </c>
      <c r="K49" s="51">
        <f t="shared" si="1"/>
        <v>91975</v>
      </c>
      <c r="L49" s="51">
        <f>SUM($K$15:K49)</f>
        <v>2149225</v>
      </c>
      <c r="M49" s="51">
        <f t="shared" si="4"/>
        <v>4697.5815000000002</v>
      </c>
      <c r="N49" s="51">
        <f>SUM($M$16:M49)</f>
        <v>235370.21350000004</v>
      </c>
      <c r="O49" s="51">
        <f t="shared" si="2"/>
        <v>87277.4185</v>
      </c>
      <c r="P49" s="51">
        <f>SUM($O$16:O49)</f>
        <v>1913854.7864999988</v>
      </c>
      <c r="Q49" s="27"/>
    </row>
    <row r="50" spans="1:17" ht="25.05" customHeight="1" x14ac:dyDescent="0.4">
      <c r="A50" s="45" t="s">
        <v>277</v>
      </c>
      <c r="B50" s="46"/>
      <c r="C50" s="47"/>
      <c r="D50" s="38">
        <f>D38</f>
        <v>542.80999999999995</v>
      </c>
      <c r="E50" s="20"/>
      <c r="F50" s="193"/>
      <c r="G50" s="51" t="s">
        <v>236</v>
      </c>
      <c r="H50" s="51">
        <v>27500</v>
      </c>
      <c r="I50" s="51">
        <v>0.1</v>
      </c>
      <c r="J50" s="51">
        <f t="shared" si="3"/>
        <v>142500</v>
      </c>
      <c r="K50" s="51">
        <f t="shared" si="1"/>
        <v>92625</v>
      </c>
      <c r="L50" s="51">
        <f>SUM($K$15:K50)</f>
        <v>2241850</v>
      </c>
      <c r="M50" s="51">
        <f t="shared" si="4"/>
        <v>4697.5815000000002</v>
      </c>
      <c r="N50" s="51">
        <f>SUM($M$16:M50)</f>
        <v>240067.79500000004</v>
      </c>
      <c r="O50" s="51">
        <f t="shared" si="2"/>
        <v>87927.4185</v>
      </c>
      <c r="P50" s="51">
        <f>SUM($O$16:O50)</f>
        <v>2001782.2049999987</v>
      </c>
      <c r="Q50" s="27"/>
    </row>
    <row r="51" spans="1:17" ht="25.05" customHeight="1" x14ac:dyDescent="0.4">
      <c r="A51" s="40" t="s">
        <v>249</v>
      </c>
      <c r="B51" s="169"/>
      <c r="C51" s="170"/>
      <c r="D51" s="70">
        <f>SUM(D49:D50) * 0.15</f>
        <v>3392.5215000000003</v>
      </c>
      <c r="E51" s="20"/>
      <c r="F51" s="193"/>
      <c r="G51" s="51" t="s">
        <v>237</v>
      </c>
      <c r="H51" s="51">
        <v>27700</v>
      </c>
      <c r="I51" s="51">
        <v>0.1</v>
      </c>
      <c r="J51" s="51">
        <f t="shared" si="3"/>
        <v>143500</v>
      </c>
      <c r="K51" s="51">
        <f t="shared" si="1"/>
        <v>93275</v>
      </c>
      <c r="L51" s="51">
        <f>SUM($K$15:K51)</f>
        <v>2335125</v>
      </c>
      <c r="M51" s="51">
        <f t="shared" si="4"/>
        <v>4697.5815000000002</v>
      </c>
      <c r="N51" s="51">
        <f>SUM($M$16:M51)</f>
        <v>244765.37650000004</v>
      </c>
      <c r="O51" s="51">
        <f t="shared" si="2"/>
        <v>88577.4185</v>
      </c>
      <c r="P51" s="51">
        <f>SUM($O$16:O51)</f>
        <v>2090359.6234999986</v>
      </c>
      <c r="Q51" s="27"/>
    </row>
    <row r="52" spans="1:17" ht="25.05" customHeight="1" x14ac:dyDescent="0.35">
      <c r="A52" s="32"/>
      <c r="B52" s="32"/>
      <c r="C52" s="32"/>
      <c r="D52" s="32"/>
      <c r="E52" s="20"/>
      <c r="F52" s="64"/>
      <c r="H52" s="124"/>
      <c r="Q52" s="27"/>
    </row>
    <row r="53" spans="1:17" ht="25.05" customHeight="1" x14ac:dyDescent="0.3">
      <c r="H53" s="124"/>
    </row>
    <row r="54" spans="1:17" ht="25.05" customHeight="1" x14ac:dyDescent="0.3"/>
    <row r="55" spans="1:17" ht="25.05" customHeight="1" x14ac:dyDescent="0.3"/>
    <row r="56" spans="1:17" ht="25.05" customHeight="1" x14ac:dyDescent="0.3"/>
    <row r="81" spans="1:17" x14ac:dyDescent="0.3">
      <c r="Q81" s="27"/>
    </row>
    <row r="82" spans="1:17" x14ac:dyDescent="0.3">
      <c r="Q82" s="27"/>
    </row>
    <row r="83" spans="1:17" ht="40.799999999999997" customHeight="1" x14ac:dyDescent="0.3">
      <c r="A83" s="164" t="s">
        <v>385</v>
      </c>
      <c r="B83" s="164"/>
      <c r="C83" s="164"/>
      <c r="D83" s="164"/>
      <c r="E83" s="164"/>
      <c r="F83" s="164"/>
      <c r="G83" s="164"/>
      <c r="H83" s="164"/>
      <c r="I83" s="164"/>
      <c r="J83" s="164"/>
      <c r="K83" s="164"/>
      <c r="L83" s="164"/>
      <c r="M83" s="164"/>
      <c r="N83" s="164"/>
      <c r="O83" s="164"/>
      <c r="P83" s="164"/>
      <c r="Q83" s="27"/>
    </row>
    <row r="84" spans="1:17" ht="30" customHeight="1" x14ac:dyDescent="0.3">
      <c r="A84" s="36" t="s">
        <v>279</v>
      </c>
      <c r="B84" s="172" t="s">
        <v>329</v>
      </c>
      <c r="C84" s="174"/>
      <c r="D84" s="53" t="s">
        <v>327</v>
      </c>
      <c r="E84" s="35"/>
      <c r="F84" s="35"/>
      <c r="G84" s="35"/>
      <c r="H84" s="54"/>
      <c r="I84" s="159" t="s">
        <v>286</v>
      </c>
      <c r="J84" s="160"/>
      <c r="K84" s="161" t="s">
        <v>328</v>
      </c>
      <c r="L84" s="191"/>
      <c r="M84" s="191"/>
      <c r="N84" s="191"/>
      <c r="O84" s="162"/>
      <c r="P84" s="36" t="s">
        <v>433</v>
      </c>
      <c r="Q84" s="27"/>
    </row>
    <row r="85" spans="1:17" s="39" customFormat="1" ht="25.05" customHeight="1" x14ac:dyDescent="0.4">
      <c r="A85" s="136" t="s">
        <v>241</v>
      </c>
      <c r="B85" s="175">
        <v>5000</v>
      </c>
      <c r="C85" s="175"/>
      <c r="D85" s="148" t="s">
        <v>283</v>
      </c>
      <c r="E85" s="149"/>
      <c r="F85" s="149"/>
      <c r="G85" s="149"/>
      <c r="H85" s="150"/>
      <c r="I85" s="137" t="s">
        <v>290</v>
      </c>
      <c r="J85" s="137"/>
      <c r="K85" s="176" t="s">
        <v>313</v>
      </c>
      <c r="L85" s="177"/>
      <c r="M85" s="177"/>
      <c r="N85" s="177"/>
      <c r="O85" s="178"/>
      <c r="P85" s="137">
        <v>70</v>
      </c>
    </row>
    <row r="86" spans="1:17" s="39" customFormat="1" ht="25.05" customHeight="1" x14ac:dyDescent="0.4">
      <c r="A86" s="136"/>
      <c r="B86" s="175"/>
      <c r="C86" s="175"/>
      <c r="D86" s="148" t="s">
        <v>330</v>
      </c>
      <c r="E86" s="149"/>
      <c r="F86" s="149"/>
      <c r="G86" s="149"/>
      <c r="H86" s="150"/>
      <c r="I86" s="137" t="s">
        <v>297</v>
      </c>
      <c r="J86" s="137"/>
      <c r="K86" s="179"/>
      <c r="L86" s="180"/>
      <c r="M86" s="180"/>
      <c r="N86" s="180"/>
      <c r="O86" s="181"/>
      <c r="P86" s="137"/>
    </row>
    <row r="87" spans="1:17" s="39" customFormat="1" ht="25.05" customHeight="1" x14ac:dyDescent="0.4">
      <c r="A87" s="136"/>
      <c r="B87" s="175"/>
      <c r="C87" s="175"/>
      <c r="D87" s="148" t="s">
        <v>284</v>
      </c>
      <c r="E87" s="149"/>
      <c r="F87" s="149"/>
      <c r="G87" s="149"/>
      <c r="H87" s="150"/>
      <c r="I87" s="137" t="s">
        <v>285</v>
      </c>
      <c r="J87" s="137"/>
      <c r="K87" s="182"/>
      <c r="L87" s="183"/>
      <c r="M87" s="183"/>
      <c r="N87" s="183"/>
      <c r="O87" s="184"/>
      <c r="P87" s="137"/>
    </row>
    <row r="88" spans="1:17" s="39" customFormat="1" ht="25.05" customHeight="1" x14ac:dyDescent="0.4">
      <c r="A88" s="136" t="s">
        <v>280</v>
      </c>
      <c r="B88" s="175">
        <v>5000</v>
      </c>
      <c r="C88" s="175"/>
      <c r="D88" s="148" t="s">
        <v>287</v>
      </c>
      <c r="E88" s="149"/>
      <c r="F88" s="149"/>
      <c r="G88" s="149"/>
      <c r="H88" s="150"/>
      <c r="I88" s="137" t="s">
        <v>302</v>
      </c>
      <c r="J88" s="137"/>
      <c r="K88" s="185" t="s">
        <v>316</v>
      </c>
      <c r="L88" s="186"/>
      <c r="M88" s="186"/>
      <c r="N88" s="186"/>
      <c r="O88" s="187"/>
      <c r="P88" s="137">
        <v>1.81</v>
      </c>
    </row>
    <row r="89" spans="1:17" s="39" customFormat="1" ht="25.05" customHeight="1" x14ac:dyDescent="0.4">
      <c r="A89" s="136"/>
      <c r="B89" s="175"/>
      <c r="C89" s="175"/>
      <c r="D89" s="148" t="s">
        <v>289</v>
      </c>
      <c r="E89" s="149"/>
      <c r="F89" s="149"/>
      <c r="G89" s="149"/>
      <c r="H89" s="150"/>
      <c r="I89" s="137" t="s">
        <v>305</v>
      </c>
      <c r="J89" s="137"/>
      <c r="K89" s="188"/>
      <c r="L89" s="189"/>
      <c r="M89" s="189"/>
      <c r="N89" s="189"/>
      <c r="O89" s="190"/>
      <c r="P89" s="137"/>
    </row>
    <row r="90" spans="1:17" s="39" customFormat="1" ht="25.05" customHeight="1" x14ac:dyDescent="0.4">
      <c r="A90" s="52" t="s">
        <v>240</v>
      </c>
      <c r="B90" s="175">
        <v>5000</v>
      </c>
      <c r="C90" s="175"/>
      <c r="D90" s="148" t="s">
        <v>332</v>
      </c>
      <c r="E90" s="149"/>
      <c r="F90" s="149"/>
      <c r="G90" s="149"/>
      <c r="H90" s="150"/>
      <c r="I90" s="137" t="s">
        <v>310</v>
      </c>
      <c r="J90" s="137" t="s">
        <v>307</v>
      </c>
      <c r="K90" s="148" t="s">
        <v>312</v>
      </c>
      <c r="L90" s="149"/>
      <c r="M90" s="149"/>
      <c r="N90" s="149"/>
      <c r="O90" s="150"/>
      <c r="P90" s="37">
        <v>360</v>
      </c>
    </row>
    <row r="91" spans="1:17" s="39" customFormat="1" ht="25.05" customHeight="1" x14ac:dyDescent="0.4">
      <c r="A91" s="52" t="s">
        <v>243</v>
      </c>
      <c r="B91" s="175">
        <v>5000</v>
      </c>
      <c r="C91" s="175"/>
      <c r="D91" s="148" t="s">
        <v>333</v>
      </c>
      <c r="E91" s="149"/>
      <c r="F91" s="149"/>
      <c r="G91" s="149"/>
      <c r="H91" s="150"/>
      <c r="I91" s="137" t="s">
        <v>321</v>
      </c>
      <c r="J91" s="137"/>
      <c r="K91" s="148" t="s">
        <v>288</v>
      </c>
      <c r="L91" s="149"/>
      <c r="M91" s="149"/>
      <c r="N91" s="149"/>
      <c r="O91" s="150"/>
      <c r="P91" s="37">
        <v>69</v>
      </c>
    </row>
    <row r="92" spans="1:17" s="39" customFormat="1" ht="25.05" customHeight="1" x14ac:dyDescent="0.4">
      <c r="A92" s="52" t="s">
        <v>244</v>
      </c>
      <c r="B92" s="175">
        <v>5000</v>
      </c>
      <c r="C92" s="175"/>
      <c r="D92" s="148" t="s">
        <v>319</v>
      </c>
      <c r="E92" s="149"/>
      <c r="F92" s="149"/>
      <c r="G92" s="149"/>
      <c r="H92" s="150"/>
      <c r="I92" s="137" t="s">
        <v>395</v>
      </c>
      <c r="J92" s="137"/>
      <c r="K92" s="148" t="s">
        <v>320</v>
      </c>
      <c r="L92" s="149"/>
      <c r="M92" s="149"/>
      <c r="N92" s="149"/>
      <c r="O92" s="150"/>
      <c r="P92" s="37">
        <v>5</v>
      </c>
    </row>
    <row r="93" spans="1:17" s="39" customFormat="1" ht="58.8" customHeight="1" x14ac:dyDescent="0.4">
      <c r="A93" s="37" t="s">
        <v>282</v>
      </c>
      <c r="B93" s="175">
        <v>5000</v>
      </c>
      <c r="C93" s="175"/>
      <c r="D93" s="148" t="s">
        <v>391</v>
      </c>
      <c r="E93" s="149"/>
      <c r="F93" s="149"/>
      <c r="G93" s="149"/>
      <c r="H93" s="150"/>
      <c r="I93" s="136" t="s">
        <v>392</v>
      </c>
      <c r="J93" s="136"/>
      <c r="K93" s="148" t="s">
        <v>326</v>
      </c>
      <c r="L93" s="149"/>
      <c r="M93" s="149"/>
      <c r="N93" s="149"/>
      <c r="O93" s="150"/>
      <c r="P93" s="37">
        <v>37</v>
      </c>
    </row>
    <row r="94" spans="1:17" x14ac:dyDescent="0.3">
      <c r="Q94" s="27"/>
    </row>
    <row r="95" spans="1:17" x14ac:dyDescent="0.3">
      <c r="Q95" s="27"/>
    </row>
    <row r="96" spans="1:17" ht="40.799999999999997" customHeight="1" x14ac:dyDescent="0.3">
      <c r="A96" s="164" t="s">
        <v>386</v>
      </c>
      <c r="B96" s="164"/>
      <c r="C96" s="164"/>
      <c r="D96" s="164"/>
      <c r="E96" s="164"/>
      <c r="F96" s="164"/>
      <c r="G96" s="164"/>
      <c r="H96" s="164"/>
      <c r="I96" s="164"/>
      <c r="J96" s="164"/>
      <c r="K96" s="164"/>
      <c r="L96" s="164"/>
      <c r="M96" s="164"/>
      <c r="N96" s="164"/>
      <c r="O96" s="164"/>
      <c r="P96" s="164"/>
      <c r="Q96" s="27"/>
    </row>
    <row r="97" spans="1:17" ht="30.6" customHeight="1" x14ac:dyDescent="0.3">
      <c r="A97" s="34" t="s">
        <v>279</v>
      </c>
      <c r="B97" s="172" t="s">
        <v>293</v>
      </c>
      <c r="C97" s="173"/>
      <c r="D97" s="53" t="s">
        <v>327</v>
      </c>
      <c r="E97" s="35"/>
      <c r="F97" s="35"/>
      <c r="G97" s="35"/>
      <c r="H97" s="54"/>
      <c r="I97" s="171" t="s">
        <v>286</v>
      </c>
      <c r="J97" s="171"/>
      <c r="K97" s="161" t="s">
        <v>328</v>
      </c>
      <c r="L97" s="191"/>
      <c r="M97" s="191"/>
      <c r="N97" s="191"/>
      <c r="O97" s="162"/>
      <c r="P97" s="34" t="s">
        <v>433</v>
      </c>
      <c r="Q97" s="27"/>
    </row>
    <row r="98" spans="1:17" ht="25.05" customHeight="1" x14ac:dyDescent="0.3">
      <c r="A98" s="132" t="s">
        <v>241</v>
      </c>
      <c r="B98" s="137" t="s">
        <v>294</v>
      </c>
      <c r="C98" s="137"/>
      <c r="D98" s="148" t="s">
        <v>283</v>
      </c>
      <c r="E98" s="149"/>
      <c r="F98" s="149"/>
      <c r="G98" s="149"/>
      <c r="H98" s="150"/>
      <c r="I98" s="137" t="s">
        <v>290</v>
      </c>
      <c r="J98" s="137"/>
      <c r="K98" s="176" t="s">
        <v>313</v>
      </c>
      <c r="L98" s="177"/>
      <c r="M98" s="177"/>
      <c r="N98" s="177"/>
      <c r="O98" s="178"/>
      <c r="P98" s="138">
        <v>70</v>
      </c>
      <c r="Q98" s="27"/>
    </row>
    <row r="99" spans="1:17" ht="25.05" customHeight="1" x14ac:dyDescent="0.3">
      <c r="A99" s="133"/>
      <c r="B99" s="137"/>
      <c r="C99" s="137"/>
      <c r="D99" s="148" t="s">
        <v>330</v>
      </c>
      <c r="E99" s="149"/>
      <c r="F99" s="149"/>
      <c r="G99" s="149"/>
      <c r="H99" s="150"/>
      <c r="I99" s="137" t="s">
        <v>297</v>
      </c>
      <c r="J99" s="137"/>
      <c r="K99" s="179"/>
      <c r="L99" s="180"/>
      <c r="M99" s="180"/>
      <c r="N99" s="180"/>
      <c r="O99" s="181"/>
      <c r="P99" s="139"/>
      <c r="Q99" s="27"/>
    </row>
    <row r="100" spans="1:17" ht="25.05" customHeight="1" x14ac:dyDescent="0.3">
      <c r="A100" s="133"/>
      <c r="B100" s="137"/>
      <c r="C100" s="137"/>
      <c r="D100" s="148" t="s">
        <v>284</v>
      </c>
      <c r="E100" s="149"/>
      <c r="F100" s="149"/>
      <c r="G100" s="149"/>
      <c r="H100" s="150"/>
      <c r="I100" s="137" t="s">
        <v>285</v>
      </c>
      <c r="J100" s="137"/>
      <c r="K100" s="182"/>
      <c r="L100" s="183"/>
      <c r="M100" s="183"/>
      <c r="N100" s="183"/>
      <c r="O100" s="184"/>
      <c r="P100" s="140"/>
      <c r="Q100" s="27"/>
    </row>
    <row r="101" spans="1:17" ht="25.05" customHeight="1" x14ac:dyDescent="0.3">
      <c r="A101" s="133"/>
      <c r="B101" s="137" t="s">
        <v>292</v>
      </c>
      <c r="C101" s="137"/>
      <c r="D101" s="148" t="s">
        <v>283</v>
      </c>
      <c r="E101" s="149"/>
      <c r="F101" s="149"/>
      <c r="G101" s="149"/>
      <c r="H101" s="150"/>
      <c r="I101" s="137" t="s">
        <v>295</v>
      </c>
      <c r="J101" s="137"/>
      <c r="K101" s="176" t="s">
        <v>314</v>
      </c>
      <c r="L101" s="177"/>
      <c r="M101" s="177"/>
      <c r="N101" s="177"/>
      <c r="O101" s="178"/>
      <c r="P101" s="138">
        <v>110</v>
      </c>
      <c r="Q101" s="27"/>
    </row>
    <row r="102" spans="1:17" ht="25.05" customHeight="1" x14ac:dyDescent="0.3">
      <c r="A102" s="133"/>
      <c r="B102" s="137"/>
      <c r="C102" s="137"/>
      <c r="D102" s="148" t="s">
        <v>330</v>
      </c>
      <c r="E102" s="149"/>
      <c r="F102" s="149"/>
      <c r="G102" s="149"/>
      <c r="H102" s="150"/>
      <c r="I102" s="137" t="s">
        <v>298</v>
      </c>
      <c r="J102" s="137"/>
      <c r="K102" s="179"/>
      <c r="L102" s="180"/>
      <c r="M102" s="180"/>
      <c r="N102" s="180"/>
      <c r="O102" s="181"/>
      <c r="P102" s="139"/>
      <c r="Q102" s="27"/>
    </row>
    <row r="103" spans="1:17" ht="25.05" customHeight="1" x14ac:dyDescent="0.3">
      <c r="A103" s="133"/>
      <c r="B103" s="137"/>
      <c r="C103" s="137"/>
      <c r="D103" s="148" t="s">
        <v>284</v>
      </c>
      <c r="E103" s="149"/>
      <c r="F103" s="149"/>
      <c r="G103" s="149"/>
      <c r="H103" s="150"/>
      <c r="I103" s="137" t="s">
        <v>300</v>
      </c>
      <c r="J103" s="137"/>
      <c r="K103" s="182"/>
      <c r="L103" s="183"/>
      <c r="M103" s="183"/>
      <c r="N103" s="183"/>
      <c r="O103" s="184"/>
      <c r="P103" s="140"/>
      <c r="Q103" s="27"/>
    </row>
    <row r="104" spans="1:17" ht="25.05" customHeight="1" x14ac:dyDescent="0.3">
      <c r="A104" s="133"/>
      <c r="B104" s="137" t="s">
        <v>291</v>
      </c>
      <c r="C104" s="137"/>
      <c r="D104" s="148" t="s">
        <v>283</v>
      </c>
      <c r="E104" s="149"/>
      <c r="F104" s="149"/>
      <c r="G104" s="149"/>
      <c r="H104" s="150"/>
      <c r="I104" s="137" t="s">
        <v>296</v>
      </c>
      <c r="J104" s="137"/>
      <c r="K104" s="176" t="s">
        <v>315</v>
      </c>
      <c r="L104" s="177"/>
      <c r="M104" s="177"/>
      <c r="N104" s="177"/>
      <c r="O104" s="178"/>
      <c r="P104" s="138">
        <v>280</v>
      </c>
      <c r="Q104" s="27"/>
    </row>
    <row r="105" spans="1:17" ht="25.05" customHeight="1" x14ac:dyDescent="0.3">
      <c r="A105" s="133"/>
      <c r="B105" s="137"/>
      <c r="C105" s="137"/>
      <c r="D105" s="148" t="s">
        <v>330</v>
      </c>
      <c r="E105" s="149"/>
      <c r="F105" s="149"/>
      <c r="G105" s="149"/>
      <c r="H105" s="150"/>
      <c r="I105" s="137" t="s">
        <v>299</v>
      </c>
      <c r="J105" s="137"/>
      <c r="K105" s="179"/>
      <c r="L105" s="180"/>
      <c r="M105" s="180"/>
      <c r="N105" s="180"/>
      <c r="O105" s="181"/>
      <c r="P105" s="139"/>
      <c r="Q105" s="27"/>
    </row>
    <row r="106" spans="1:17" ht="25.05" customHeight="1" x14ac:dyDescent="0.3">
      <c r="A106" s="134"/>
      <c r="B106" s="137"/>
      <c r="C106" s="137"/>
      <c r="D106" s="148" t="s">
        <v>284</v>
      </c>
      <c r="E106" s="149"/>
      <c r="F106" s="149"/>
      <c r="G106" s="149"/>
      <c r="H106" s="150"/>
      <c r="I106" s="137" t="s">
        <v>301</v>
      </c>
      <c r="J106" s="137"/>
      <c r="K106" s="182"/>
      <c r="L106" s="183"/>
      <c r="M106" s="183"/>
      <c r="N106" s="183"/>
      <c r="O106" s="184"/>
      <c r="P106" s="140"/>
      <c r="Q106" s="27"/>
    </row>
    <row r="107" spans="1:17" ht="25.05" customHeight="1" x14ac:dyDescent="0.3">
      <c r="A107" s="132" t="s">
        <v>280</v>
      </c>
      <c r="B107" s="137" t="s">
        <v>294</v>
      </c>
      <c r="C107" s="137"/>
      <c r="D107" s="148" t="s">
        <v>287</v>
      </c>
      <c r="E107" s="149"/>
      <c r="F107" s="149"/>
      <c r="G107" s="149"/>
      <c r="H107" s="150"/>
      <c r="I107" s="137" t="s">
        <v>302</v>
      </c>
      <c r="J107" s="137"/>
      <c r="K107" s="185" t="s">
        <v>316</v>
      </c>
      <c r="L107" s="186"/>
      <c r="M107" s="186"/>
      <c r="N107" s="186"/>
      <c r="O107" s="187"/>
      <c r="P107" s="138">
        <v>1.81</v>
      </c>
      <c r="Q107" s="27"/>
    </row>
    <row r="108" spans="1:17" ht="25.05" customHeight="1" x14ac:dyDescent="0.3">
      <c r="A108" s="133"/>
      <c r="B108" s="137"/>
      <c r="C108" s="137"/>
      <c r="D108" s="148" t="s">
        <v>289</v>
      </c>
      <c r="E108" s="149"/>
      <c r="F108" s="149"/>
      <c r="G108" s="149"/>
      <c r="H108" s="150"/>
      <c r="I108" s="137" t="s">
        <v>305</v>
      </c>
      <c r="J108" s="137"/>
      <c r="K108" s="188"/>
      <c r="L108" s="189"/>
      <c r="M108" s="189"/>
      <c r="N108" s="189"/>
      <c r="O108" s="190"/>
      <c r="P108" s="140"/>
      <c r="Q108" s="27"/>
    </row>
    <row r="109" spans="1:17" ht="25.05" customHeight="1" x14ac:dyDescent="0.3">
      <c r="A109" s="133"/>
      <c r="B109" s="136" t="s">
        <v>292</v>
      </c>
      <c r="C109" s="136"/>
      <c r="D109" s="148" t="s">
        <v>287</v>
      </c>
      <c r="E109" s="149"/>
      <c r="F109" s="149"/>
      <c r="G109" s="149"/>
      <c r="H109" s="150"/>
      <c r="I109" s="137" t="s">
        <v>303</v>
      </c>
      <c r="J109" s="137"/>
      <c r="K109" s="185" t="s">
        <v>316</v>
      </c>
      <c r="L109" s="186"/>
      <c r="M109" s="186"/>
      <c r="N109" s="186"/>
      <c r="O109" s="187"/>
      <c r="P109" s="138">
        <v>4.53</v>
      </c>
      <c r="Q109" s="27"/>
    </row>
    <row r="110" spans="1:17" ht="25.05" customHeight="1" x14ac:dyDescent="0.3">
      <c r="A110" s="133"/>
      <c r="B110" s="136"/>
      <c r="C110" s="136"/>
      <c r="D110" s="148" t="s">
        <v>289</v>
      </c>
      <c r="E110" s="149"/>
      <c r="F110" s="149"/>
      <c r="G110" s="149"/>
      <c r="H110" s="150"/>
      <c r="I110" s="137" t="s">
        <v>306</v>
      </c>
      <c r="J110" s="137"/>
      <c r="K110" s="188"/>
      <c r="L110" s="189"/>
      <c r="M110" s="189"/>
      <c r="N110" s="189"/>
      <c r="O110" s="190"/>
      <c r="P110" s="140"/>
      <c r="Q110" s="27"/>
    </row>
    <row r="111" spans="1:17" ht="25.05" customHeight="1" x14ac:dyDescent="0.3">
      <c r="A111" s="133"/>
      <c r="B111" s="137" t="s">
        <v>291</v>
      </c>
      <c r="C111" s="137"/>
      <c r="D111" s="148" t="s">
        <v>287</v>
      </c>
      <c r="E111" s="149"/>
      <c r="F111" s="149"/>
      <c r="G111" s="149"/>
      <c r="H111" s="150"/>
      <c r="I111" s="137" t="s">
        <v>304</v>
      </c>
      <c r="J111" s="137"/>
      <c r="K111" s="185" t="s">
        <v>316</v>
      </c>
      <c r="L111" s="186"/>
      <c r="M111" s="186"/>
      <c r="N111" s="186"/>
      <c r="O111" s="187"/>
      <c r="P111" s="138">
        <v>9.06</v>
      </c>
      <c r="Q111" s="27"/>
    </row>
    <row r="112" spans="1:17" ht="25.05" customHeight="1" x14ac:dyDescent="0.3">
      <c r="A112" s="134"/>
      <c r="B112" s="137"/>
      <c r="C112" s="137"/>
      <c r="D112" s="148" t="s">
        <v>289</v>
      </c>
      <c r="E112" s="149"/>
      <c r="F112" s="149"/>
      <c r="G112" s="149"/>
      <c r="H112" s="150"/>
      <c r="I112" s="137" t="s">
        <v>297</v>
      </c>
      <c r="J112" s="137"/>
      <c r="K112" s="188"/>
      <c r="L112" s="189"/>
      <c r="M112" s="189"/>
      <c r="N112" s="189"/>
      <c r="O112" s="190"/>
      <c r="P112" s="140"/>
      <c r="Q112" s="27"/>
    </row>
    <row r="113" spans="1:17" ht="25.05" customHeight="1" x14ac:dyDescent="0.3">
      <c r="A113" s="132" t="s">
        <v>281</v>
      </c>
      <c r="B113" s="137" t="s">
        <v>389</v>
      </c>
      <c r="C113" s="137"/>
      <c r="D113" s="185" t="s">
        <v>331</v>
      </c>
      <c r="E113" s="186"/>
      <c r="F113" s="186"/>
      <c r="G113" s="186"/>
      <c r="H113" s="187"/>
      <c r="I113" s="137" t="s">
        <v>308</v>
      </c>
      <c r="J113" s="137"/>
      <c r="K113" s="148" t="s">
        <v>311</v>
      </c>
      <c r="L113" s="149"/>
      <c r="M113" s="149"/>
      <c r="N113" s="149"/>
      <c r="O113" s="150"/>
      <c r="P113" s="37">
        <v>245</v>
      </c>
      <c r="Q113" s="27"/>
    </row>
    <row r="114" spans="1:17" ht="25.05" customHeight="1" x14ac:dyDescent="0.3">
      <c r="A114" s="133"/>
      <c r="B114" s="137" t="s">
        <v>292</v>
      </c>
      <c r="C114" s="137"/>
      <c r="D114" s="203"/>
      <c r="E114" s="204"/>
      <c r="F114" s="204"/>
      <c r="G114" s="204"/>
      <c r="H114" s="205"/>
      <c r="I114" s="137" t="s">
        <v>309</v>
      </c>
      <c r="J114" s="137"/>
      <c r="K114" s="148" t="s">
        <v>396</v>
      </c>
      <c r="L114" s="149"/>
      <c r="M114" s="149"/>
      <c r="N114" s="149"/>
      <c r="O114" s="150"/>
      <c r="P114" s="37">
        <v>464</v>
      </c>
      <c r="Q114" s="27"/>
    </row>
    <row r="115" spans="1:17" ht="25.05" customHeight="1" x14ac:dyDescent="0.3">
      <c r="A115" s="134"/>
      <c r="B115" s="137" t="s">
        <v>291</v>
      </c>
      <c r="C115" s="137"/>
      <c r="D115" s="188"/>
      <c r="E115" s="189"/>
      <c r="F115" s="189"/>
      <c r="G115" s="189"/>
      <c r="H115" s="190"/>
      <c r="I115" s="137" t="s">
        <v>310</v>
      </c>
      <c r="J115" s="137" t="s">
        <v>307</v>
      </c>
      <c r="K115" s="148" t="s">
        <v>397</v>
      </c>
      <c r="L115" s="149"/>
      <c r="M115" s="149"/>
      <c r="N115" s="149"/>
      <c r="O115" s="150"/>
      <c r="P115" s="37">
        <v>586</v>
      </c>
      <c r="Q115" s="27"/>
    </row>
    <row r="116" spans="1:17" ht="25.05" customHeight="1" x14ac:dyDescent="0.3">
      <c r="A116" s="132" t="s">
        <v>243</v>
      </c>
      <c r="B116" s="137" t="s">
        <v>294</v>
      </c>
      <c r="C116" s="137"/>
      <c r="D116" s="185" t="s">
        <v>318</v>
      </c>
      <c r="E116" s="186"/>
      <c r="F116" s="186"/>
      <c r="G116" s="186"/>
      <c r="H116" s="187"/>
      <c r="I116" s="137" t="s">
        <v>321</v>
      </c>
      <c r="J116" s="137"/>
      <c r="K116" s="148" t="s">
        <v>288</v>
      </c>
      <c r="L116" s="149"/>
      <c r="M116" s="149"/>
      <c r="N116" s="149"/>
      <c r="O116" s="150"/>
      <c r="P116" s="37">
        <v>59</v>
      </c>
      <c r="Q116" s="27"/>
    </row>
    <row r="117" spans="1:17" ht="25.05" customHeight="1" x14ac:dyDescent="0.3">
      <c r="A117" s="133"/>
      <c r="B117" s="137" t="s">
        <v>292</v>
      </c>
      <c r="C117" s="137"/>
      <c r="D117" s="203"/>
      <c r="E117" s="204"/>
      <c r="F117" s="204"/>
      <c r="G117" s="204"/>
      <c r="H117" s="205"/>
      <c r="I117" s="137" t="s">
        <v>322</v>
      </c>
      <c r="J117" s="137"/>
      <c r="K117" s="148" t="s">
        <v>324</v>
      </c>
      <c r="L117" s="149"/>
      <c r="M117" s="149"/>
      <c r="N117" s="149"/>
      <c r="O117" s="150"/>
      <c r="P117" s="37">
        <v>118</v>
      </c>
      <c r="Q117" s="27"/>
    </row>
    <row r="118" spans="1:17" ht="25.05" customHeight="1" x14ac:dyDescent="0.3">
      <c r="A118" s="134"/>
      <c r="B118" s="137" t="s">
        <v>390</v>
      </c>
      <c r="C118" s="137"/>
      <c r="D118" s="188"/>
      <c r="E118" s="189"/>
      <c r="F118" s="189"/>
      <c r="G118" s="189"/>
      <c r="H118" s="190"/>
      <c r="I118" s="137" t="s">
        <v>323</v>
      </c>
      <c r="J118" s="137"/>
      <c r="K118" s="148" t="s">
        <v>325</v>
      </c>
      <c r="L118" s="149"/>
      <c r="M118" s="149"/>
      <c r="N118" s="149"/>
      <c r="O118" s="150"/>
      <c r="P118" s="37">
        <v>235</v>
      </c>
      <c r="Q118" s="27"/>
    </row>
    <row r="119" spans="1:17" ht="24.6" customHeight="1" x14ac:dyDescent="0.3">
      <c r="A119" s="52" t="s">
        <v>244</v>
      </c>
      <c r="B119" s="137" t="s">
        <v>317</v>
      </c>
      <c r="C119" s="137"/>
      <c r="D119" s="148" t="s">
        <v>319</v>
      </c>
      <c r="E119" s="149"/>
      <c r="F119" s="149"/>
      <c r="G119" s="149"/>
      <c r="H119" s="150"/>
      <c r="I119" s="137" t="s">
        <v>395</v>
      </c>
      <c r="J119" s="137"/>
      <c r="K119" s="148" t="s">
        <v>320</v>
      </c>
      <c r="L119" s="149"/>
      <c r="M119" s="149"/>
      <c r="N119" s="149"/>
      <c r="O119" s="150"/>
      <c r="P119" s="37">
        <v>5</v>
      </c>
      <c r="Q119" s="27"/>
    </row>
    <row r="120" spans="1:17" ht="60" customHeight="1" x14ac:dyDescent="0.3">
      <c r="A120" s="137" t="s">
        <v>282</v>
      </c>
      <c r="B120" s="137" t="s">
        <v>434</v>
      </c>
      <c r="C120" s="137"/>
      <c r="D120" s="137" t="s">
        <v>391</v>
      </c>
      <c r="E120" s="137"/>
      <c r="F120" s="137"/>
      <c r="G120" s="137"/>
      <c r="H120" s="137"/>
      <c r="I120" s="136" t="s">
        <v>392</v>
      </c>
      <c r="J120" s="136"/>
      <c r="K120" s="148" t="s">
        <v>326</v>
      </c>
      <c r="L120" s="149"/>
      <c r="M120" s="149"/>
      <c r="N120" s="149"/>
      <c r="O120" s="150"/>
      <c r="P120" s="37">
        <v>37</v>
      </c>
      <c r="Q120" s="27"/>
    </row>
    <row r="121" spans="1:17" ht="60" customHeight="1" x14ac:dyDescent="0.3">
      <c r="A121" s="137"/>
      <c r="B121" s="137" t="s">
        <v>292</v>
      </c>
      <c r="C121" s="137"/>
      <c r="D121" s="137"/>
      <c r="E121" s="137"/>
      <c r="F121" s="137"/>
      <c r="G121" s="137"/>
      <c r="H121" s="137"/>
      <c r="I121" s="136" t="s">
        <v>393</v>
      </c>
      <c r="J121" s="136"/>
      <c r="K121" s="148" t="s">
        <v>326</v>
      </c>
      <c r="L121" s="149"/>
      <c r="M121" s="149"/>
      <c r="N121" s="149"/>
      <c r="O121" s="150"/>
      <c r="P121" s="37">
        <v>88</v>
      </c>
      <c r="Q121" s="27"/>
    </row>
    <row r="122" spans="1:17" ht="60" customHeight="1" x14ac:dyDescent="0.3">
      <c r="A122" s="137"/>
      <c r="B122" s="137" t="s">
        <v>291</v>
      </c>
      <c r="C122" s="137"/>
      <c r="D122" s="137"/>
      <c r="E122" s="137"/>
      <c r="F122" s="137"/>
      <c r="G122" s="137"/>
      <c r="H122" s="137"/>
      <c r="I122" s="136" t="s">
        <v>394</v>
      </c>
      <c r="J122" s="136"/>
      <c r="K122" s="148" t="s">
        <v>326</v>
      </c>
      <c r="L122" s="149"/>
      <c r="M122" s="149"/>
      <c r="N122" s="149"/>
      <c r="O122" s="150"/>
      <c r="P122" s="37">
        <v>190</v>
      </c>
    </row>
    <row r="124" spans="1:17" x14ac:dyDescent="0.3">
      <c r="Q124" s="27"/>
    </row>
    <row r="125" spans="1:17" x14ac:dyDescent="0.3">
      <c r="Q125" s="27"/>
    </row>
    <row r="126" spans="1:17" x14ac:dyDescent="0.3">
      <c r="Q126" s="27"/>
    </row>
    <row r="127" spans="1:17" x14ac:dyDescent="0.3">
      <c r="Q127" s="27"/>
    </row>
    <row r="132" spans="17:17" ht="15.6" customHeight="1" x14ac:dyDescent="0.3"/>
    <row r="133" spans="17:17" ht="19.8" x14ac:dyDescent="0.4">
      <c r="Q133" s="39"/>
    </row>
    <row r="134" spans="17:17" ht="19.8" x14ac:dyDescent="0.4">
      <c r="Q134" s="39"/>
    </row>
    <row r="135" spans="17:17" ht="19.8" x14ac:dyDescent="0.4">
      <c r="Q135" s="39"/>
    </row>
    <row r="136" spans="17:17" ht="19.8" x14ac:dyDescent="0.4">
      <c r="Q136" s="39"/>
    </row>
    <row r="137" spans="17:17" ht="19.8" x14ac:dyDescent="0.4">
      <c r="Q137" s="39"/>
    </row>
    <row r="138" spans="17:17" ht="19.8" x14ac:dyDescent="0.4">
      <c r="Q138" s="39"/>
    </row>
    <row r="139" spans="17:17" ht="19.8" x14ac:dyDescent="0.4">
      <c r="Q139" s="39"/>
    </row>
    <row r="140" spans="17:17" ht="19.8" x14ac:dyDescent="0.4">
      <c r="Q140" s="39"/>
    </row>
    <row r="141" spans="17:17" ht="19.8" x14ac:dyDescent="0.4">
      <c r="Q141" s="39"/>
    </row>
    <row r="145" ht="15.6" customHeight="1" x14ac:dyDescent="0.3"/>
    <row r="148" ht="15.6" customHeight="1" x14ac:dyDescent="0.3"/>
    <row r="151" ht="15.6" customHeight="1" x14ac:dyDescent="0.3"/>
  </sheetData>
  <mergeCells count="162">
    <mergeCell ref="K116:O116"/>
    <mergeCell ref="K117:O117"/>
    <mergeCell ref="K118:O118"/>
    <mergeCell ref="K119:O119"/>
    <mergeCell ref="K120:O120"/>
    <mergeCell ref="K121:O121"/>
    <mergeCell ref="K122:O122"/>
    <mergeCell ref="K93:O93"/>
    <mergeCell ref="K97:O97"/>
    <mergeCell ref="K98:O100"/>
    <mergeCell ref="K101:O103"/>
    <mergeCell ref="K104:O106"/>
    <mergeCell ref="K107:O108"/>
    <mergeCell ref="K109:O110"/>
    <mergeCell ref="K111:O112"/>
    <mergeCell ref="K113:O113"/>
    <mergeCell ref="I122:J122"/>
    <mergeCell ref="D98:H98"/>
    <mergeCell ref="D99:H99"/>
    <mergeCell ref="D100:H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5"/>
    <mergeCell ref="D116:H118"/>
    <mergeCell ref="I108:J108"/>
    <mergeCell ref="I109:J109"/>
    <mergeCell ref="I110:J110"/>
    <mergeCell ref="I111:J111"/>
    <mergeCell ref="I112:J112"/>
    <mergeCell ref="I103:J103"/>
    <mergeCell ref="B122:C122"/>
    <mergeCell ref="D120:H122"/>
    <mergeCell ref="A1:P1"/>
    <mergeCell ref="B37:C37"/>
    <mergeCell ref="B121:C121"/>
    <mergeCell ref="P98:P100"/>
    <mergeCell ref="P101:P103"/>
    <mergeCell ref="P104:P106"/>
    <mergeCell ref="P107:P108"/>
    <mergeCell ref="P109:P110"/>
    <mergeCell ref="P111:P112"/>
    <mergeCell ref="F14:P14"/>
    <mergeCell ref="A30:D30"/>
    <mergeCell ref="A120:A122"/>
    <mergeCell ref="A39:D39"/>
    <mergeCell ref="F16:F20"/>
    <mergeCell ref="A48:D48"/>
    <mergeCell ref="A14:D14"/>
    <mergeCell ref="B31:C32"/>
    <mergeCell ref="A31:A32"/>
    <mergeCell ref="D31:D32"/>
    <mergeCell ref="B33:C33"/>
    <mergeCell ref="B35:C35"/>
    <mergeCell ref="I119:J119"/>
    <mergeCell ref="B44:C44"/>
    <mergeCell ref="B45:C45"/>
    <mergeCell ref="B46:C46"/>
    <mergeCell ref="A96:P96"/>
    <mergeCell ref="K85:O87"/>
    <mergeCell ref="K88:O89"/>
    <mergeCell ref="K90:O90"/>
    <mergeCell ref="K91:O91"/>
    <mergeCell ref="K92:O92"/>
    <mergeCell ref="K84:O84"/>
    <mergeCell ref="F34:F45"/>
    <mergeCell ref="F46:F51"/>
    <mergeCell ref="B36:C36"/>
    <mergeCell ref="A40:A41"/>
    <mergeCell ref="B40:C41"/>
    <mergeCell ref="D40:D41"/>
    <mergeCell ref="B42:C42"/>
    <mergeCell ref="B97:C97"/>
    <mergeCell ref="B84:C84"/>
    <mergeCell ref="B85:C87"/>
    <mergeCell ref="B88:C89"/>
    <mergeCell ref="B90:C90"/>
    <mergeCell ref="B91:C91"/>
    <mergeCell ref="B92:C92"/>
    <mergeCell ref="B93:C93"/>
    <mergeCell ref="I84:J84"/>
    <mergeCell ref="I85:J85"/>
    <mergeCell ref="I86:J86"/>
    <mergeCell ref="I87:J87"/>
    <mergeCell ref="I88:J88"/>
    <mergeCell ref="D90:H90"/>
    <mergeCell ref="D91:H91"/>
    <mergeCell ref="D92:H92"/>
    <mergeCell ref="D93:H93"/>
    <mergeCell ref="I91:J91"/>
    <mergeCell ref="I92:J92"/>
    <mergeCell ref="I93:J93"/>
    <mergeCell ref="D89:H89"/>
    <mergeCell ref="A116:A118"/>
    <mergeCell ref="P85:P87"/>
    <mergeCell ref="A85:A87"/>
    <mergeCell ref="A88:A89"/>
    <mergeCell ref="I97:J97"/>
    <mergeCell ref="I98:J98"/>
    <mergeCell ref="I99:J99"/>
    <mergeCell ref="I100:J100"/>
    <mergeCell ref="I101:J101"/>
    <mergeCell ref="I102:J102"/>
    <mergeCell ref="A107:A112"/>
    <mergeCell ref="A113:A115"/>
    <mergeCell ref="A98:A106"/>
    <mergeCell ref="B98:C100"/>
    <mergeCell ref="B101:C103"/>
    <mergeCell ref="B104:C106"/>
    <mergeCell ref="B107:C108"/>
    <mergeCell ref="B109:C110"/>
    <mergeCell ref="B111:C112"/>
    <mergeCell ref="B113:C113"/>
    <mergeCell ref="B114:C114"/>
    <mergeCell ref="B115:C115"/>
    <mergeCell ref="B116:C116"/>
    <mergeCell ref="B117:C117"/>
    <mergeCell ref="B118:C118"/>
    <mergeCell ref="B119:C119"/>
    <mergeCell ref="B120:C120"/>
    <mergeCell ref="I118:J118"/>
    <mergeCell ref="I120:J120"/>
    <mergeCell ref="I121:J121"/>
    <mergeCell ref="I113:J113"/>
    <mergeCell ref="I114:J114"/>
    <mergeCell ref="I115:J115"/>
    <mergeCell ref="I116:J116"/>
    <mergeCell ref="I117:J117"/>
    <mergeCell ref="D119:H119"/>
    <mergeCell ref="I104:J104"/>
    <mergeCell ref="I105:J105"/>
    <mergeCell ref="I106:J106"/>
    <mergeCell ref="I107:J107"/>
    <mergeCell ref="K114:O114"/>
    <mergeCell ref="K115:O115"/>
    <mergeCell ref="A26:D27"/>
    <mergeCell ref="A28:A29"/>
    <mergeCell ref="B28:C29"/>
    <mergeCell ref="D28:D29"/>
    <mergeCell ref="F21:F33"/>
    <mergeCell ref="A83:P83"/>
    <mergeCell ref="I89:J89"/>
    <mergeCell ref="I90:J90"/>
    <mergeCell ref="B38:C38"/>
    <mergeCell ref="B47:C47"/>
    <mergeCell ref="B51:C51"/>
    <mergeCell ref="B34:C34"/>
    <mergeCell ref="B43:C43"/>
    <mergeCell ref="P88:P89"/>
    <mergeCell ref="D85:H85"/>
    <mergeCell ref="D86:H86"/>
    <mergeCell ref="D87:H87"/>
    <mergeCell ref="D88:H88"/>
  </mergeCells>
  <pageMargins left="0.7" right="0.7" top="0.75" bottom="0.75" header="0.3" footer="0.3"/>
  <pageSetup paperSize="9" orientation="portrait" horizontalDpi="0" verticalDpi="0" r:id="rId1"/>
  <ignoredErrors>
    <ignoredError sqref="D22"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2CF3C-FD5E-4FA0-9690-68D2054489FB}">
  <dimension ref="A1:O17"/>
  <sheetViews>
    <sheetView zoomScale="50" zoomScaleNormal="50" workbookViewId="0">
      <selection activeCell="K8" sqref="K8"/>
    </sheetView>
  </sheetViews>
  <sheetFormatPr baseColWidth="10" defaultRowHeight="14.4" x14ac:dyDescent="0.3"/>
  <cols>
    <col min="1" max="1" width="5.6640625" customWidth="1"/>
    <col min="2" max="2" width="30.5546875" customWidth="1"/>
    <col min="3" max="3" width="51.44140625" customWidth="1"/>
    <col min="4" max="4" width="46.6640625" customWidth="1"/>
    <col min="5" max="5" width="66.5546875" customWidth="1"/>
    <col min="6" max="6" width="71.109375" customWidth="1"/>
    <col min="7" max="7" width="15" customWidth="1"/>
    <col min="8" max="8" width="20.44140625" customWidth="1"/>
    <col min="9" max="9" width="27.88671875" customWidth="1"/>
    <col min="10" max="10" width="67.44140625" bestFit="1" customWidth="1"/>
    <col min="11" max="11" width="58" customWidth="1"/>
  </cols>
  <sheetData>
    <row r="1" spans="1:15" ht="51.6" x14ac:dyDescent="0.3">
      <c r="A1" s="56" t="s">
        <v>0</v>
      </c>
      <c r="B1" s="56" t="s">
        <v>154</v>
      </c>
      <c r="C1" s="56" t="s">
        <v>155</v>
      </c>
      <c r="D1" s="56" t="s">
        <v>156</v>
      </c>
      <c r="E1" s="56" t="s">
        <v>157</v>
      </c>
      <c r="F1" s="56" t="s">
        <v>159</v>
      </c>
      <c r="G1" s="56" t="s">
        <v>401</v>
      </c>
      <c r="H1" s="56" t="s">
        <v>402</v>
      </c>
      <c r="I1" s="56" t="s">
        <v>160</v>
      </c>
      <c r="J1" s="56" t="s">
        <v>161</v>
      </c>
      <c r="K1" s="56" t="s">
        <v>158</v>
      </c>
    </row>
    <row r="2" spans="1:15" ht="59.4" x14ac:dyDescent="0.3">
      <c r="A2" s="41" t="s">
        <v>349</v>
      </c>
      <c r="B2" s="59" t="s">
        <v>180</v>
      </c>
      <c r="C2" s="59" t="s">
        <v>361</v>
      </c>
      <c r="D2" s="59" t="s">
        <v>362</v>
      </c>
      <c r="E2" s="59" t="s">
        <v>363</v>
      </c>
      <c r="F2" s="52" t="s">
        <v>170</v>
      </c>
      <c r="G2" s="52">
        <v>3</v>
      </c>
      <c r="H2" s="52">
        <v>4</v>
      </c>
      <c r="I2" s="60">
        <f>G2*H2</f>
        <v>12</v>
      </c>
      <c r="J2" s="55" t="s">
        <v>512</v>
      </c>
      <c r="K2" s="55" t="s">
        <v>181</v>
      </c>
      <c r="N2" s="65" t="s">
        <v>412</v>
      </c>
      <c r="O2" s="65">
        <v>2</v>
      </c>
    </row>
    <row r="3" spans="1:15" ht="59.4" x14ac:dyDescent="0.3">
      <c r="A3" s="41" t="s">
        <v>351</v>
      </c>
      <c r="B3" s="59" t="s">
        <v>182</v>
      </c>
      <c r="C3" s="59" t="s">
        <v>364</v>
      </c>
      <c r="D3" s="59" t="s">
        <v>365</v>
      </c>
      <c r="E3" s="59" t="s">
        <v>366</v>
      </c>
      <c r="F3" s="52" t="s">
        <v>183</v>
      </c>
      <c r="G3" s="52">
        <v>2</v>
      </c>
      <c r="H3" s="52">
        <v>2</v>
      </c>
      <c r="I3" s="60">
        <f t="shared" ref="I3:I13" si="0">G3*H3</f>
        <v>4</v>
      </c>
      <c r="J3" s="55" t="s">
        <v>505</v>
      </c>
      <c r="K3" s="55" t="s">
        <v>506</v>
      </c>
      <c r="N3" s="65" t="s">
        <v>172</v>
      </c>
      <c r="O3" s="65">
        <v>6</v>
      </c>
    </row>
    <row r="4" spans="1:15" ht="59.4" x14ac:dyDescent="0.3">
      <c r="A4" s="41" t="s">
        <v>352</v>
      </c>
      <c r="B4" s="59" t="s">
        <v>178</v>
      </c>
      <c r="C4" s="59" t="s">
        <v>449</v>
      </c>
      <c r="D4" s="59" t="s">
        <v>367</v>
      </c>
      <c r="E4" s="59" t="s">
        <v>509</v>
      </c>
      <c r="F4" s="52" t="s">
        <v>450</v>
      </c>
      <c r="G4" s="52">
        <v>4</v>
      </c>
      <c r="H4" s="52">
        <v>2</v>
      </c>
      <c r="I4" s="60">
        <f t="shared" si="0"/>
        <v>8</v>
      </c>
      <c r="J4" s="55" t="s">
        <v>408</v>
      </c>
      <c r="K4" s="55" t="s">
        <v>510</v>
      </c>
      <c r="N4" s="65" t="s">
        <v>413</v>
      </c>
      <c r="O4" s="65">
        <v>6</v>
      </c>
    </row>
    <row r="5" spans="1:15" ht="79.2" x14ac:dyDescent="0.3">
      <c r="A5" s="41" t="s">
        <v>353</v>
      </c>
      <c r="B5" s="59" t="s">
        <v>87</v>
      </c>
      <c r="C5" s="59" t="s">
        <v>368</v>
      </c>
      <c r="D5" s="59" t="s">
        <v>369</v>
      </c>
      <c r="E5" s="59" t="s">
        <v>507</v>
      </c>
      <c r="F5" s="52" t="s">
        <v>451</v>
      </c>
      <c r="G5" s="52">
        <v>5</v>
      </c>
      <c r="H5" s="52">
        <v>3</v>
      </c>
      <c r="I5" s="60">
        <f t="shared" si="0"/>
        <v>15</v>
      </c>
      <c r="J5" s="55" t="s">
        <v>508</v>
      </c>
      <c r="K5" s="55" t="s">
        <v>511</v>
      </c>
      <c r="N5" s="65" t="s">
        <v>414</v>
      </c>
      <c r="O5" s="65">
        <v>5</v>
      </c>
    </row>
    <row r="6" spans="1:15" ht="85.2" customHeight="1" x14ac:dyDescent="0.3">
      <c r="A6" s="41" t="s">
        <v>354</v>
      </c>
      <c r="B6" s="59" t="s">
        <v>163</v>
      </c>
      <c r="C6" s="59" t="s">
        <v>370</v>
      </c>
      <c r="D6" s="59" t="s">
        <v>371</v>
      </c>
      <c r="E6" s="59" t="s">
        <v>499</v>
      </c>
      <c r="F6" s="52" t="s">
        <v>164</v>
      </c>
      <c r="G6" s="52">
        <v>4</v>
      </c>
      <c r="H6" s="52">
        <v>2</v>
      </c>
      <c r="I6" s="60">
        <f t="shared" si="0"/>
        <v>8</v>
      </c>
      <c r="J6" s="55" t="s">
        <v>500</v>
      </c>
      <c r="K6" s="55" t="s">
        <v>501</v>
      </c>
      <c r="N6" s="65" t="s">
        <v>415</v>
      </c>
      <c r="O6" s="65">
        <v>6</v>
      </c>
    </row>
    <row r="7" spans="1:15" ht="39.6" x14ac:dyDescent="0.3">
      <c r="A7" s="41" t="s">
        <v>355</v>
      </c>
      <c r="B7" s="59" t="s">
        <v>165</v>
      </c>
      <c r="C7" s="59" t="s">
        <v>372</v>
      </c>
      <c r="D7" s="59" t="s">
        <v>373</v>
      </c>
      <c r="E7" s="59" t="s">
        <v>374</v>
      </c>
      <c r="F7" s="52" t="s">
        <v>162</v>
      </c>
      <c r="G7" s="52">
        <v>4</v>
      </c>
      <c r="H7" s="52">
        <v>2</v>
      </c>
      <c r="I7" s="60">
        <f t="shared" si="0"/>
        <v>8</v>
      </c>
      <c r="J7" s="55" t="s">
        <v>523</v>
      </c>
      <c r="K7" s="55" t="s">
        <v>166</v>
      </c>
      <c r="N7" s="65"/>
      <c r="O7" s="65"/>
    </row>
    <row r="8" spans="1:15" ht="59.4" x14ac:dyDescent="0.3">
      <c r="A8" s="41" t="s">
        <v>356</v>
      </c>
      <c r="B8" s="59" t="s">
        <v>418</v>
      </c>
      <c r="C8" s="59" t="s">
        <v>452</v>
      </c>
      <c r="D8" s="59" t="s">
        <v>375</v>
      </c>
      <c r="E8" s="59" t="s">
        <v>376</v>
      </c>
      <c r="F8" s="52" t="s">
        <v>189</v>
      </c>
      <c r="G8" s="52">
        <v>3</v>
      </c>
      <c r="H8" s="52">
        <v>2</v>
      </c>
      <c r="I8" s="60">
        <f t="shared" si="0"/>
        <v>6</v>
      </c>
      <c r="J8" s="55" t="s">
        <v>503</v>
      </c>
      <c r="K8" s="55" t="s">
        <v>502</v>
      </c>
    </row>
    <row r="9" spans="1:15" ht="59.4" x14ac:dyDescent="0.3">
      <c r="A9" s="41" t="s">
        <v>350</v>
      </c>
      <c r="B9" s="59" t="s">
        <v>167</v>
      </c>
      <c r="C9" s="59" t="s">
        <v>377</v>
      </c>
      <c r="D9" s="59" t="s">
        <v>378</v>
      </c>
      <c r="E9" s="59" t="s">
        <v>379</v>
      </c>
      <c r="F9" s="52" t="s">
        <v>164</v>
      </c>
      <c r="G9" s="52">
        <v>5</v>
      </c>
      <c r="H9" s="52">
        <v>2</v>
      </c>
      <c r="I9" s="60">
        <f t="shared" si="0"/>
        <v>10</v>
      </c>
      <c r="J9" s="55" t="s">
        <v>168</v>
      </c>
      <c r="K9" s="55" t="s">
        <v>169</v>
      </c>
    </row>
    <row r="10" spans="1:15" ht="59.4" x14ac:dyDescent="0.3">
      <c r="A10" s="41" t="s">
        <v>357</v>
      </c>
      <c r="B10" s="59" t="s">
        <v>171</v>
      </c>
      <c r="C10" s="59" t="s">
        <v>453</v>
      </c>
      <c r="D10" s="59" t="s">
        <v>380</v>
      </c>
      <c r="E10" s="59" t="s">
        <v>381</v>
      </c>
      <c r="F10" s="52" t="s">
        <v>162</v>
      </c>
      <c r="G10" s="52">
        <v>4</v>
      </c>
      <c r="H10" s="52">
        <v>2</v>
      </c>
      <c r="I10" s="60">
        <f t="shared" si="0"/>
        <v>8</v>
      </c>
      <c r="J10" s="55" t="s">
        <v>173</v>
      </c>
      <c r="K10" s="55" t="s">
        <v>454</v>
      </c>
    </row>
    <row r="11" spans="1:15" ht="59.4" x14ac:dyDescent="0.3">
      <c r="A11" s="41" t="s">
        <v>358</v>
      </c>
      <c r="B11" s="59" t="s">
        <v>174</v>
      </c>
      <c r="C11" s="59" t="s">
        <v>518</v>
      </c>
      <c r="D11" s="59" t="s">
        <v>455</v>
      </c>
      <c r="E11" s="59" t="s">
        <v>519</v>
      </c>
      <c r="F11" s="52" t="s">
        <v>175</v>
      </c>
      <c r="G11" s="52">
        <v>2</v>
      </c>
      <c r="H11" s="52">
        <v>2</v>
      </c>
      <c r="I11" s="67">
        <f>G11*H11</f>
        <v>4</v>
      </c>
      <c r="J11" s="55" t="s">
        <v>176</v>
      </c>
      <c r="K11" s="55" t="s">
        <v>177</v>
      </c>
    </row>
    <row r="12" spans="1:15" ht="57.6" customHeight="1" x14ac:dyDescent="0.3">
      <c r="A12" s="41" t="s">
        <v>359</v>
      </c>
      <c r="B12" s="59" t="s">
        <v>409</v>
      </c>
      <c r="C12" s="59" t="s">
        <v>410</v>
      </c>
      <c r="D12" s="59" t="s">
        <v>456</v>
      </c>
      <c r="E12" s="59" t="s">
        <v>520</v>
      </c>
      <c r="F12" s="52" t="s">
        <v>457</v>
      </c>
      <c r="G12" s="52">
        <v>3</v>
      </c>
      <c r="H12" s="52">
        <v>2</v>
      </c>
      <c r="I12" s="60">
        <f t="shared" ref="I12" si="1">G12*H12</f>
        <v>6</v>
      </c>
      <c r="J12" s="55" t="s">
        <v>521</v>
      </c>
      <c r="K12" s="55" t="s">
        <v>522</v>
      </c>
    </row>
    <row r="13" spans="1:15" ht="39.6" x14ac:dyDescent="0.3">
      <c r="A13" s="41" t="s">
        <v>411</v>
      </c>
      <c r="B13" s="59" t="s">
        <v>406</v>
      </c>
      <c r="C13" s="59" t="s">
        <v>407</v>
      </c>
      <c r="D13" s="59" t="s">
        <v>382</v>
      </c>
      <c r="E13" s="59" t="s">
        <v>383</v>
      </c>
      <c r="F13" s="52" t="s">
        <v>458</v>
      </c>
      <c r="G13" s="52">
        <v>4</v>
      </c>
      <c r="H13" s="52">
        <v>3</v>
      </c>
      <c r="I13" s="60">
        <f t="shared" si="0"/>
        <v>12</v>
      </c>
      <c r="J13" s="55" t="s">
        <v>513</v>
      </c>
      <c r="K13" s="55" t="s">
        <v>179</v>
      </c>
    </row>
    <row r="14" spans="1:15" ht="29.4" customHeight="1" x14ac:dyDescent="0.3">
      <c r="B14" s="22"/>
      <c r="C14" s="23"/>
      <c r="D14" s="23"/>
      <c r="E14" s="23"/>
      <c r="F14" s="25"/>
      <c r="G14" s="25"/>
      <c r="H14" s="25"/>
      <c r="I14" s="26"/>
      <c r="J14" s="24"/>
      <c r="K14" s="24"/>
    </row>
    <row r="15" spans="1:15" x14ac:dyDescent="0.3">
      <c r="F15" s="61"/>
    </row>
    <row r="16" spans="1:15" x14ac:dyDescent="0.3">
      <c r="F16" s="61"/>
    </row>
    <row r="17" spans="6:6" x14ac:dyDescent="0.3">
      <c r="F17" s="61"/>
    </row>
  </sheetData>
  <phoneticPr fontId="27" type="noConversion"/>
  <conditionalFormatting sqref="I1:I1048576">
    <cfRule type="cellIs" dxfId="10" priority="1" operator="equal">
      <formula>4</formula>
    </cfRule>
    <cfRule type="cellIs" dxfId="9" priority="2" operator="equal">
      <formula>6</formula>
    </cfRule>
    <cfRule type="cellIs" dxfId="8" priority="4" operator="equal">
      <formula>9</formula>
    </cfRule>
    <cfRule type="cellIs" dxfId="7" priority="5" operator="equal">
      <formula>10</formula>
    </cfRule>
    <cfRule type="cellIs" dxfId="6" priority="6" operator="equal">
      <formula>8</formula>
    </cfRule>
    <cfRule type="cellIs" dxfId="5" priority="7" operator="equal">
      <formula>15</formula>
    </cfRule>
    <cfRule type="cellIs" dxfId="4" priority="8" operator="equal">
      <formula>12</formula>
    </cfRule>
    <cfRule type="cellIs" dxfId="3" priority="9" operator="between">
      <formula>16</formula>
      <formula>20</formula>
    </cfRule>
    <cfRule type="cellIs" dxfId="2" priority="10" operator="between">
      <formula>11</formula>
      <formula>15</formula>
    </cfRule>
    <cfRule type="cellIs" dxfId="1" priority="11" operator="between">
      <formula>6</formula>
      <formula>10</formula>
    </cfRule>
    <cfRule type="cellIs" dxfId="0" priority="12" operator="between">
      <formula>1</formula>
      <formula>5</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51EA-58E8-47C5-92C4-06C253378C6B}">
  <dimension ref="A1:H52"/>
  <sheetViews>
    <sheetView zoomScaleNormal="100" workbookViewId="0">
      <selection activeCell="B16" sqref="B16:H16"/>
    </sheetView>
  </sheetViews>
  <sheetFormatPr baseColWidth="10" defaultRowHeight="14.4" x14ac:dyDescent="0.3"/>
  <cols>
    <col min="1" max="1" width="52.44140625" style="15" customWidth="1"/>
    <col min="2" max="2" width="13.88671875" bestFit="1" customWidth="1"/>
    <col min="3" max="3" width="16.5546875" bestFit="1" customWidth="1"/>
    <col min="4" max="4" width="30.88671875" customWidth="1"/>
    <col min="7" max="7" width="14.21875" bestFit="1" customWidth="1"/>
    <col min="8" max="8" width="53.77734375" customWidth="1"/>
  </cols>
  <sheetData>
    <row r="1" spans="1:8" ht="27.6" customHeight="1" x14ac:dyDescent="0.3">
      <c r="A1" s="206" t="s">
        <v>119</v>
      </c>
      <c r="B1" s="207"/>
      <c r="C1" s="207"/>
      <c r="D1" s="207"/>
      <c r="E1" s="207"/>
      <c r="F1" s="207"/>
      <c r="G1" s="207"/>
      <c r="H1" s="208"/>
    </row>
    <row r="2" spans="1:8" x14ac:dyDescent="0.3">
      <c r="A2" s="3" t="s">
        <v>53</v>
      </c>
      <c r="B2" s="214" t="s">
        <v>120</v>
      </c>
      <c r="C2" s="214"/>
      <c r="D2" s="214"/>
      <c r="E2" s="214"/>
      <c r="F2" s="214"/>
      <c r="G2" s="214"/>
      <c r="H2" s="214"/>
    </row>
    <row r="3" spans="1:8" x14ac:dyDescent="0.3">
      <c r="A3" s="3" t="s">
        <v>54</v>
      </c>
      <c r="B3" s="214" t="s">
        <v>55</v>
      </c>
      <c r="C3" s="214"/>
      <c r="D3" s="214"/>
      <c r="E3" s="214"/>
      <c r="F3" s="214"/>
      <c r="G3" s="214"/>
      <c r="H3" s="214"/>
    </row>
    <row r="4" spans="1:8" x14ac:dyDescent="0.3">
      <c r="A4" s="3" t="s">
        <v>56</v>
      </c>
      <c r="B4" s="215">
        <v>45958</v>
      </c>
      <c r="C4" s="216"/>
      <c r="D4" s="216"/>
      <c r="E4" s="216"/>
      <c r="F4" s="216"/>
      <c r="G4" s="216"/>
      <c r="H4" s="216"/>
    </row>
    <row r="5" spans="1:8" x14ac:dyDescent="0.3">
      <c r="A5" s="3" t="s">
        <v>57</v>
      </c>
      <c r="B5" s="217">
        <v>45960</v>
      </c>
      <c r="C5" s="218"/>
      <c r="D5" s="218"/>
      <c r="E5" s="218"/>
      <c r="F5" s="218"/>
      <c r="G5" s="218"/>
      <c r="H5" s="218"/>
    </row>
    <row r="6" spans="1:8" ht="30.6" customHeight="1" x14ac:dyDescent="0.3">
      <c r="A6" s="1" t="s">
        <v>58</v>
      </c>
      <c r="B6" s="2" t="s">
        <v>59</v>
      </c>
      <c r="C6" s="2" t="s">
        <v>60</v>
      </c>
      <c r="D6" s="2" t="s">
        <v>61</v>
      </c>
      <c r="E6" s="2" t="s">
        <v>62</v>
      </c>
      <c r="F6" s="2" t="s">
        <v>63</v>
      </c>
      <c r="G6" s="2" t="s">
        <v>64</v>
      </c>
      <c r="H6" s="2" t="s">
        <v>65</v>
      </c>
    </row>
    <row r="7" spans="1:8" x14ac:dyDescent="0.3">
      <c r="A7" s="3" t="s">
        <v>66</v>
      </c>
      <c r="B7" s="4" t="s">
        <v>121</v>
      </c>
      <c r="C7" s="5" t="s">
        <v>191</v>
      </c>
      <c r="D7" s="5" t="s">
        <v>190</v>
      </c>
      <c r="E7" s="5" t="s">
        <v>122</v>
      </c>
      <c r="F7" s="5" t="s">
        <v>123</v>
      </c>
      <c r="G7" s="5" t="s">
        <v>124</v>
      </c>
      <c r="H7" s="6" t="s">
        <v>125</v>
      </c>
    </row>
    <row r="8" spans="1:8" x14ac:dyDescent="0.3">
      <c r="A8" s="3" t="s">
        <v>67</v>
      </c>
      <c r="B8" s="7" t="s">
        <v>416</v>
      </c>
      <c r="C8" s="5" t="s">
        <v>191</v>
      </c>
      <c r="D8" s="5" t="s">
        <v>190</v>
      </c>
      <c r="E8" s="5" t="s">
        <v>122</v>
      </c>
      <c r="F8" s="5" t="s">
        <v>123</v>
      </c>
      <c r="G8" s="5" t="s">
        <v>124</v>
      </c>
      <c r="H8" s="66" t="s">
        <v>417</v>
      </c>
    </row>
    <row r="9" spans="1:8" x14ac:dyDescent="0.3">
      <c r="A9" s="3" t="s">
        <v>68</v>
      </c>
      <c r="B9" s="8" t="s">
        <v>126</v>
      </c>
      <c r="C9" s="8" t="s">
        <v>126</v>
      </c>
      <c r="D9" s="8" t="s">
        <v>126</v>
      </c>
      <c r="E9" s="8" t="s">
        <v>126</v>
      </c>
      <c r="F9" s="8" t="s">
        <v>126</v>
      </c>
      <c r="G9" s="8" t="s">
        <v>126</v>
      </c>
      <c r="H9" s="8" t="s">
        <v>126</v>
      </c>
    </row>
    <row r="10" spans="1:8" x14ac:dyDescent="0.3">
      <c r="A10" s="3" t="s">
        <v>69</v>
      </c>
      <c r="B10" s="7" t="s">
        <v>127</v>
      </c>
      <c r="C10" s="5" t="s">
        <v>191</v>
      </c>
      <c r="D10" s="5" t="s">
        <v>190</v>
      </c>
      <c r="E10" s="5" t="s">
        <v>122</v>
      </c>
      <c r="F10" s="5" t="s">
        <v>123</v>
      </c>
      <c r="G10" s="5" t="s">
        <v>124</v>
      </c>
      <c r="H10" s="9" t="s">
        <v>128</v>
      </c>
    </row>
    <row r="11" spans="1:8" x14ac:dyDescent="0.3">
      <c r="A11" s="3" t="s">
        <v>70</v>
      </c>
      <c r="B11" s="8" t="s">
        <v>126</v>
      </c>
      <c r="C11" s="8" t="s">
        <v>126</v>
      </c>
      <c r="D11" s="8" t="s">
        <v>126</v>
      </c>
      <c r="E11" s="8" t="s">
        <v>126</v>
      </c>
      <c r="F11" s="8" t="s">
        <v>126</v>
      </c>
      <c r="G11" s="8" t="s">
        <v>126</v>
      </c>
      <c r="H11" s="8" t="s">
        <v>126</v>
      </c>
    </row>
    <row r="12" spans="1:8" ht="27.6" customHeight="1" x14ac:dyDescent="0.3">
      <c r="A12" s="209" t="s">
        <v>71</v>
      </c>
      <c r="B12" s="210"/>
      <c r="C12" s="210"/>
      <c r="D12" s="210"/>
      <c r="E12" s="210"/>
      <c r="F12" s="210"/>
      <c r="G12" s="210"/>
      <c r="H12" s="210"/>
    </row>
    <row r="13" spans="1:8" x14ac:dyDescent="0.3">
      <c r="A13" s="3" t="s">
        <v>72</v>
      </c>
      <c r="B13" s="211" t="s">
        <v>129</v>
      </c>
      <c r="C13" s="211"/>
      <c r="D13" s="211"/>
      <c r="E13" s="211"/>
      <c r="F13" s="211"/>
      <c r="G13" s="211"/>
      <c r="H13" s="211"/>
    </row>
    <row r="14" spans="1:8" x14ac:dyDescent="0.3">
      <c r="A14" s="3" t="s">
        <v>73</v>
      </c>
      <c r="B14" s="211" t="s">
        <v>130</v>
      </c>
      <c r="C14" s="211"/>
      <c r="D14" s="211"/>
      <c r="E14" s="211"/>
      <c r="F14" s="211"/>
      <c r="G14" s="211"/>
      <c r="H14" s="211"/>
    </row>
    <row r="15" spans="1:8" x14ac:dyDescent="0.3">
      <c r="A15" s="3" t="s">
        <v>74</v>
      </c>
      <c r="B15" s="211" t="s">
        <v>131</v>
      </c>
      <c r="C15" s="211"/>
      <c r="D15" s="211"/>
      <c r="E15" s="211"/>
      <c r="F15" s="211"/>
      <c r="G15" s="211"/>
      <c r="H15" s="211"/>
    </row>
    <row r="16" spans="1:8" x14ac:dyDescent="0.3">
      <c r="A16" s="3" t="s">
        <v>75</v>
      </c>
      <c r="B16" s="211" t="s">
        <v>132</v>
      </c>
      <c r="C16" s="211"/>
      <c r="D16" s="211"/>
      <c r="E16" s="211"/>
      <c r="F16" s="211"/>
      <c r="G16" s="211"/>
      <c r="H16" s="211"/>
    </row>
    <row r="17" spans="1:8" x14ac:dyDescent="0.3">
      <c r="A17" s="3" t="s">
        <v>76</v>
      </c>
      <c r="B17" s="211" t="s">
        <v>133</v>
      </c>
      <c r="C17" s="211"/>
      <c r="D17" s="211"/>
      <c r="E17" s="211"/>
      <c r="F17" s="211"/>
      <c r="G17" s="211"/>
      <c r="H17" s="211"/>
    </row>
    <row r="18" spans="1:8" x14ac:dyDescent="0.3">
      <c r="A18" s="3" t="s">
        <v>77</v>
      </c>
      <c r="B18" s="211" t="s">
        <v>134</v>
      </c>
      <c r="C18" s="211"/>
      <c r="D18" s="211"/>
      <c r="E18" s="211"/>
      <c r="F18" s="211"/>
      <c r="G18" s="211"/>
      <c r="H18" s="211"/>
    </row>
    <row r="19" spans="1:8" ht="27.6" customHeight="1" x14ac:dyDescent="0.3">
      <c r="A19" s="16" t="s">
        <v>78</v>
      </c>
      <c r="B19" s="212" t="s">
        <v>79</v>
      </c>
      <c r="C19" s="212"/>
      <c r="D19" s="212"/>
      <c r="E19" s="213" t="s">
        <v>80</v>
      </c>
      <c r="F19" s="213"/>
      <c r="G19" s="213"/>
      <c r="H19" s="213"/>
    </row>
    <row r="20" spans="1:8" x14ac:dyDescent="0.3">
      <c r="A20" s="3" t="s">
        <v>81</v>
      </c>
      <c r="B20" s="219" t="s">
        <v>135</v>
      </c>
      <c r="C20" s="219"/>
      <c r="D20" s="219"/>
      <c r="E20" s="220" t="s">
        <v>485</v>
      </c>
      <c r="F20" s="220"/>
      <c r="G20" s="220"/>
      <c r="H20" s="220"/>
    </row>
    <row r="21" spans="1:8" x14ac:dyDescent="0.3">
      <c r="A21" s="3" t="s">
        <v>82</v>
      </c>
      <c r="B21" s="219" t="s">
        <v>136</v>
      </c>
      <c r="C21" s="219"/>
      <c r="D21" s="219"/>
      <c r="E21" s="220" t="s">
        <v>485</v>
      </c>
      <c r="F21" s="220"/>
      <c r="G21" s="220"/>
      <c r="H21" s="220"/>
    </row>
    <row r="22" spans="1:8" ht="28.8" x14ac:dyDescent="0.3">
      <c r="A22" s="3" t="s">
        <v>83</v>
      </c>
      <c r="B22" s="219" t="s">
        <v>137</v>
      </c>
      <c r="C22" s="219"/>
      <c r="D22" s="219"/>
      <c r="E22" s="220" t="s">
        <v>486</v>
      </c>
      <c r="F22" s="220"/>
      <c r="G22" s="220"/>
      <c r="H22" s="220"/>
    </row>
    <row r="23" spans="1:8" x14ac:dyDescent="0.3">
      <c r="A23" s="3" t="s">
        <v>84</v>
      </c>
      <c r="B23" s="220" t="s">
        <v>138</v>
      </c>
      <c r="C23" s="220"/>
      <c r="D23" s="220"/>
      <c r="E23" s="220" t="s">
        <v>140</v>
      </c>
      <c r="F23" s="220"/>
      <c r="G23" s="220"/>
      <c r="H23" s="220"/>
    </row>
    <row r="24" spans="1:8" ht="28.8" x14ac:dyDescent="0.3">
      <c r="A24" s="3" t="s">
        <v>85</v>
      </c>
      <c r="B24" s="220" t="s">
        <v>139</v>
      </c>
      <c r="C24" s="220"/>
      <c r="D24" s="220"/>
      <c r="E24" s="220"/>
      <c r="F24" s="220"/>
      <c r="G24" s="220"/>
      <c r="H24" s="220"/>
    </row>
    <row r="25" spans="1:8" x14ac:dyDescent="0.3">
      <c r="A25" s="3" t="s">
        <v>86</v>
      </c>
      <c r="B25" s="220" t="s">
        <v>139</v>
      </c>
      <c r="C25" s="220"/>
      <c r="D25" s="220"/>
      <c r="E25" s="220"/>
      <c r="F25" s="220"/>
      <c r="G25" s="220"/>
      <c r="H25" s="220"/>
    </row>
    <row r="26" spans="1:8" s="11" customFormat="1" ht="27.6" customHeight="1" x14ac:dyDescent="0.3">
      <c r="A26" s="17" t="s">
        <v>87</v>
      </c>
      <c r="B26" s="221" t="s">
        <v>79</v>
      </c>
      <c r="C26" s="221"/>
      <c r="D26" s="221"/>
      <c r="E26" s="222" t="s">
        <v>80</v>
      </c>
      <c r="F26" s="222"/>
      <c r="G26" s="222"/>
      <c r="H26" s="222"/>
    </row>
    <row r="27" spans="1:8" x14ac:dyDescent="0.3">
      <c r="A27" s="3" t="s">
        <v>88</v>
      </c>
      <c r="B27" s="211"/>
      <c r="C27" s="211"/>
      <c r="D27" s="211"/>
      <c r="E27" s="211"/>
      <c r="F27" s="211"/>
      <c r="G27" s="211"/>
      <c r="H27" s="211"/>
    </row>
    <row r="28" spans="1:8" x14ac:dyDescent="0.3">
      <c r="A28" s="3" t="s">
        <v>89</v>
      </c>
      <c r="B28" s="211"/>
      <c r="C28" s="211"/>
      <c r="D28" s="211"/>
      <c r="E28" s="211"/>
      <c r="F28" s="211"/>
      <c r="G28" s="211"/>
      <c r="H28" s="211"/>
    </row>
    <row r="29" spans="1:8" ht="28.8" x14ac:dyDescent="0.3">
      <c r="A29" s="3" t="s">
        <v>90</v>
      </c>
      <c r="B29" s="211"/>
      <c r="C29" s="211"/>
      <c r="D29" s="211"/>
      <c r="E29" s="211"/>
      <c r="F29" s="211"/>
      <c r="G29" s="211"/>
      <c r="H29" s="211"/>
    </row>
    <row r="30" spans="1:8" x14ac:dyDescent="0.3">
      <c r="A30" s="3" t="s">
        <v>91</v>
      </c>
      <c r="B30" s="211"/>
      <c r="C30" s="211"/>
      <c r="D30" s="211"/>
      <c r="E30" s="211"/>
      <c r="F30" s="211"/>
      <c r="G30" s="211"/>
      <c r="H30" s="211"/>
    </row>
    <row r="31" spans="1:8" x14ac:dyDescent="0.3">
      <c r="A31" s="3" t="s">
        <v>92</v>
      </c>
      <c r="B31" s="211"/>
      <c r="C31" s="211"/>
      <c r="D31" s="211"/>
      <c r="E31" s="211"/>
      <c r="F31" s="211"/>
      <c r="G31" s="211"/>
      <c r="H31" s="211"/>
    </row>
    <row r="32" spans="1:8" ht="28.8" x14ac:dyDescent="0.3">
      <c r="A32" s="3" t="s">
        <v>93</v>
      </c>
      <c r="B32" s="211"/>
      <c r="C32" s="211"/>
      <c r="D32" s="211"/>
      <c r="E32" s="211"/>
      <c r="F32" s="211"/>
      <c r="G32" s="211"/>
      <c r="H32" s="211"/>
    </row>
    <row r="33" spans="1:8" x14ac:dyDescent="0.3">
      <c r="A33" s="3" t="s">
        <v>94</v>
      </c>
      <c r="B33" s="211"/>
      <c r="C33" s="211"/>
      <c r="D33" s="211"/>
      <c r="E33" s="211"/>
      <c r="F33" s="211"/>
      <c r="G33" s="211"/>
      <c r="H33" s="211"/>
    </row>
    <row r="34" spans="1:8" x14ac:dyDescent="0.3">
      <c r="A34" s="3" t="s">
        <v>95</v>
      </c>
      <c r="B34" s="211"/>
      <c r="C34" s="211"/>
      <c r="D34" s="211"/>
      <c r="E34" s="211"/>
      <c r="F34" s="211"/>
      <c r="G34" s="211"/>
      <c r="H34" s="211"/>
    </row>
    <row r="35" spans="1:8" ht="28.8" x14ac:dyDescent="0.3">
      <c r="A35" s="3" t="s">
        <v>96</v>
      </c>
      <c r="B35" s="211"/>
      <c r="C35" s="211"/>
      <c r="D35" s="211"/>
      <c r="E35" s="211"/>
      <c r="F35" s="211"/>
      <c r="G35" s="211"/>
      <c r="H35" s="211"/>
    </row>
    <row r="36" spans="1:8" s="11" customFormat="1" ht="27.6" customHeight="1" x14ac:dyDescent="0.3">
      <c r="A36" s="17" t="s">
        <v>97</v>
      </c>
      <c r="B36" s="221" t="s">
        <v>79</v>
      </c>
      <c r="C36" s="221"/>
      <c r="D36" s="221"/>
      <c r="E36" s="222" t="s">
        <v>98</v>
      </c>
      <c r="F36" s="222"/>
      <c r="G36" s="222"/>
      <c r="H36" s="222"/>
    </row>
    <row r="37" spans="1:8" x14ac:dyDescent="0.3">
      <c r="A37" s="3" t="s">
        <v>99</v>
      </c>
      <c r="B37" s="211" t="s">
        <v>141</v>
      </c>
      <c r="C37" s="211"/>
      <c r="D37" s="211"/>
      <c r="E37" s="211"/>
      <c r="F37" s="211"/>
      <c r="G37" s="211"/>
      <c r="H37" s="211"/>
    </row>
    <row r="38" spans="1:8" s="11" customFormat="1" ht="27.6" customHeight="1" x14ac:dyDescent="0.3">
      <c r="A38" s="17" t="s">
        <v>100</v>
      </c>
      <c r="B38" s="223" t="s">
        <v>101</v>
      </c>
      <c r="C38" s="223"/>
      <c r="D38" s="223"/>
      <c r="E38" s="222" t="s">
        <v>98</v>
      </c>
      <c r="F38" s="222"/>
      <c r="G38" s="222"/>
      <c r="H38" s="222"/>
    </row>
    <row r="39" spans="1:8" x14ac:dyDescent="0.3">
      <c r="A39" s="3" t="s">
        <v>102</v>
      </c>
      <c r="B39" s="211" t="s">
        <v>142</v>
      </c>
      <c r="C39" s="211"/>
      <c r="D39" s="211"/>
      <c r="E39" s="211" t="s">
        <v>144</v>
      </c>
      <c r="F39" s="211"/>
      <c r="G39" s="211"/>
      <c r="H39" s="211"/>
    </row>
    <row r="40" spans="1:8" x14ac:dyDescent="0.3">
      <c r="A40" s="3" t="s">
        <v>103</v>
      </c>
      <c r="B40" s="224" t="s">
        <v>143</v>
      </c>
      <c r="C40" s="225"/>
      <c r="D40" s="226"/>
      <c r="E40" s="224" t="s">
        <v>145</v>
      </c>
      <c r="F40" s="225"/>
      <c r="G40" s="225"/>
      <c r="H40" s="226"/>
    </row>
    <row r="41" spans="1:8" x14ac:dyDescent="0.3">
      <c r="A41" s="3" t="s">
        <v>104</v>
      </c>
      <c r="B41" s="224"/>
      <c r="C41" s="225"/>
      <c r="D41" s="226"/>
      <c r="E41" s="224"/>
      <c r="F41" s="225"/>
      <c r="G41" s="225"/>
      <c r="H41" s="226"/>
    </row>
    <row r="42" spans="1:8" x14ac:dyDescent="0.3">
      <c r="A42" s="3" t="s">
        <v>105</v>
      </c>
      <c r="B42" s="224"/>
      <c r="C42" s="225"/>
      <c r="D42" s="226"/>
      <c r="E42" s="224"/>
      <c r="F42" s="225"/>
      <c r="G42" s="225"/>
      <c r="H42" s="226"/>
    </row>
    <row r="43" spans="1:8" s="11" customFormat="1" ht="27.6" customHeight="1" x14ac:dyDescent="0.3">
      <c r="A43" s="17" t="s">
        <v>106</v>
      </c>
      <c r="B43" s="221" t="s">
        <v>107</v>
      </c>
      <c r="C43" s="221"/>
      <c r="D43" s="221"/>
      <c r="E43" s="222" t="s">
        <v>98</v>
      </c>
      <c r="F43" s="222"/>
      <c r="G43" s="222"/>
      <c r="H43" s="222"/>
    </row>
    <row r="44" spans="1:8" x14ac:dyDescent="0.3">
      <c r="A44" s="3" t="s">
        <v>108</v>
      </c>
      <c r="B44" s="211" t="s">
        <v>146</v>
      </c>
      <c r="C44" s="211"/>
      <c r="D44" s="211"/>
      <c r="E44" s="211" t="s">
        <v>147</v>
      </c>
      <c r="F44" s="211"/>
      <c r="G44" s="211"/>
      <c r="H44" s="211"/>
    </row>
    <row r="45" spans="1:8" x14ac:dyDescent="0.3">
      <c r="A45" s="3" t="s">
        <v>109</v>
      </c>
      <c r="B45" s="211" t="s">
        <v>149</v>
      </c>
      <c r="C45" s="211"/>
      <c r="D45" s="211"/>
      <c r="E45" s="211" t="s">
        <v>148</v>
      </c>
      <c r="F45" s="211"/>
      <c r="G45" s="211"/>
      <c r="H45" s="211"/>
    </row>
    <row r="46" spans="1:8" x14ac:dyDescent="0.3">
      <c r="A46" s="3" t="s">
        <v>110</v>
      </c>
      <c r="B46" s="211" t="s">
        <v>150</v>
      </c>
      <c r="C46" s="211"/>
      <c r="D46" s="211"/>
      <c r="E46" s="211" t="s">
        <v>151</v>
      </c>
      <c r="F46" s="211"/>
      <c r="G46" s="211"/>
      <c r="H46" s="211"/>
    </row>
    <row r="47" spans="1:8" x14ac:dyDescent="0.3">
      <c r="A47" s="3" t="s">
        <v>152</v>
      </c>
      <c r="B47" s="211" t="s">
        <v>153</v>
      </c>
      <c r="C47" s="211"/>
      <c r="D47" s="211"/>
      <c r="E47" s="211" t="s">
        <v>484</v>
      </c>
      <c r="F47" s="211"/>
      <c r="G47" s="211"/>
      <c r="H47" s="211"/>
    </row>
    <row r="48" spans="1:8" s="12" customFormat="1" ht="27.6" customHeight="1" x14ac:dyDescent="0.3">
      <c r="A48" s="18" t="s">
        <v>111</v>
      </c>
      <c r="B48" s="19" t="s">
        <v>112</v>
      </c>
      <c r="C48" s="19" t="s">
        <v>63</v>
      </c>
      <c r="D48" s="227" t="s">
        <v>113</v>
      </c>
      <c r="E48" s="227"/>
      <c r="F48" s="227" t="s">
        <v>114</v>
      </c>
      <c r="G48" s="227"/>
      <c r="H48" s="227"/>
    </row>
    <row r="49" spans="1:8" x14ac:dyDescent="0.3">
      <c r="A49" s="3" t="s">
        <v>115</v>
      </c>
      <c r="B49" s="13"/>
      <c r="C49" s="14"/>
      <c r="D49" s="228"/>
      <c r="E49" s="228"/>
      <c r="F49" s="211"/>
      <c r="G49" s="211"/>
      <c r="H49" s="211"/>
    </row>
    <row r="50" spans="1:8" x14ac:dyDescent="0.3">
      <c r="A50" s="3" t="s">
        <v>116</v>
      </c>
      <c r="B50" s="13"/>
      <c r="C50" s="13"/>
      <c r="D50" s="211"/>
      <c r="E50" s="211"/>
      <c r="F50" s="211"/>
      <c r="G50" s="211"/>
      <c r="H50" s="211"/>
    </row>
    <row r="51" spans="1:8" x14ac:dyDescent="0.3">
      <c r="A51" s="3" t="s">
        <v>117</v>
      </c>
      <c r="B51" s="13"/>
      <c r="C51" s="13"/>
      <c r="D51" s="211"/>
      <c r="E51" s="211"/>
      <c r="F51" s="211"/>
      <c r="G51" s="211"/>
      <c r="H51" s="211"/>
    </row>
    <row r="52" spans="1:8" x14ac:dyDescent="0.3">
      <c r="A52" s="3" t="s">
        <v>118</v>
      </c>
      <c r="B52" s="13"/>
      <c r="C52" s="13"/>
      <c r="D52" s="211"/>
      <c r="E52" s="211"/>
      <c r="F52" s="211"/>
      <c r="G52" s="211"/>
      <c r="H52" s="10"/>
    </row>
  </sheetData>
  <mergeCells count="80">
    <mergeCell ref="D51:E51"/>
    <mergeCell ref="F51:H51"/>
    <mergeCell ref="D52:E52"/>
    <mergeCell ref="F52:G52"/>
    <mergeCell ref="D48:E48"/>
    <mergeCell ref="F48:H48"/>
    <mergeCell ref="D49:E49"/>
    <mergeCell ref="F49:H49"/>
    <mergeCell ref="D50:E50"/>
    <mergeCell ref="F50:H50"/>
    <mergeCell ref="B44:D44"/>
    <mergeCell ref="E44:H44"/>
    <mergeCell ref="B45:D45"/>
    <mergeCell ref="E45:H45"/>
    <mergeCell ref="B46:D46"/>
    <mergeCell ref="E46:H46"/>
    <mergeCell ref="B41:D41"/>
    <mergeCell ref="E41:H41"/>
    <mergeCell ref="B42:D42"/>
    <mergeCell ref="E42:H42"/>
    <mergeCell ref="B43:D43"/>
    <mergeCell ref="E43:H43"/>
    <mergeCell ref="B38:D38"/>
    <mergeCell ref="E38:H38"/>
    <mergeCell ref="B39:D39"/>
    <mergeCell ref="E39:H39"/>
    <mergeCell ref="B40:D40"/>
    <mergeCell ref="E40:H40"/>
    <mergeCell ref="B35:D35"/>
    <mergeCell ref="E35:H35"/>
    <mergeCell ref="B36:D36"/>
    <mergeCell ref="E36:H36"/>
    <mergeCell ref="B37:D37"/>
    <mergeCell ref="E37:H37"/>
    <mergeCell ref="B32:D32"/>
    <mergeCell ref="E32:H32"/>
    <mergeCell ref="B33:D33"/>
    <mergeCell ref="E33:H33"/>
    <mergeCell ref="B34:D34"/>
    <mergeCell ref="E34:H34"/>
    <mergeCell ref="B29:D29"/>
    <mergeCell ref="E29:H29"/>
    <mergeCell ref="B30:D30"/>
    <mergeCell ref="E30:H30"/>
    <mergeCell ref="B31:D31"/>
    <mergeCell ref="E31:H31"/>
    <mergeCell ref="B26:D26"/>
    <mergeCell ref="E26:H26"/>
    <mergeCell ref="B27:D27"/>
    <mergeCell ref="E27:H27"/>
    <mergeCell ref="B28:D28"/>
    <mergeCell ref="E28:H28"/>
    <mergeCell ref="B23:D23"/>
    <mergeCell ref="E23:H23"/>
    <mergeCell ref="B24:D24"/>
    <mergeCell ref="E24:H24"/>
    <mergeCell ref="B25:D25"/>
    <mergeCell ref="E25:H25"/>
    <mergeCell ref="B20:D20"/>
    <mergeCell ref="E20:H20"/>
    <mergeCell ref="B21:D21"/>
    <mergeCell ref="E21:H21"/>
    <mergeCell ref="B22:D22"/>
    <mergeCell ref="E22:H22"/>
    <mergeCell ref="A1:H1"/>
    <mergeCell ref="A12:H12"/>
    <mergeCell ref="B47:D47"/>
    <mergeCell ref="E47:H47"/>
    <mergeCell ref="B19:D19"/>
    <mergeCell ref="E19:H19"/>
    <mergeCell ref="B2:H2"/>
    <mergeCell ref="B3:H3"/>
    <mergeCell ref="B4:H4"/>
    <mergeCell ref="B5:H5"/>
    <mergeCell ref="B13:H13"/>
    <mergeCell ref="B14:H14"/>
    <mergeCell ref="B15:H15"/>
    <mergeCell ref="B16:H16"/>
    <mergeCell ref="B17:H17"/>
    <mergeCell ref="B18:H18"/>
  </mergeCells>
  <hyperlinks>
    <hyperlink ref="H7" r:id="rId1" xr:uid="{817F2CD5-D3D5-48E1-9D79-B414F333B4D8}"/>
    <hyperlink ref="H8" r:id="rId2" xr:uid="{E55D95A7-0640-4E35-8297-4988F0D85AE2}"/>
    <hyperlink ref="H10" r:id="rId3" xr:uid="{FCDDA0FB-1EE0-4BED-B7E0-92054C38CE1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60BE-C41A-4815-8651-CD2309BF4C79}">
  <dimension ref="A1:H51"/>
  <sheetViews>
    <sheetView zoomScaleNormal="100" workbookViewId="0">
      <selection activeCell="E41" sqref="E41:H41"/>
    </sheetView>
  </sheetViews>
  <sheetFormatPr baseColWidth="10" defaultRowHeight="14.4" x14ac:dyDescent="0.3"/>
  <cols>
    <col min="1" max="1" width="54.77734375" style="15" customWidth="1"/>
    <col min="2" max="2" width="22.33203125" customWidth="1"/>
    <col min="3" max="3" width="27.88671875" customWidth="1"/>
    <col min="4" max="4" width="23.88671875" customWidth="1"/>
    <col min="7" max="7" width="14.21875" bestFit="1" customWidth="1"/>
    <col min="8" max="8" width="35.88671875" customWidth="1"/>
  </cols>
  <sheetData>
    <row r="1" spans="1:8" ht="27.6" customHeight="1" x14ac:dyDescent="0.3">
      <c r="A1" s="206" t="s">
        <v>481</v>
      </c>
      <c r="B1" s="207"/>
      <c r="C1" s="207"/>
      <c r="D1" s="207"/>
      <c r="E1" s="207"/>
      <c r="F1" s="207"/>
      <c r="G1" s="207"/>
      <c r="H1" s="208"/>
    </row>
    <row r="2" spans="1:8" x14ac:dyDescent="0.3">
      <c r="A2" s="3" t="s">
        <v>53</v>
      </c>
      <c r="B2" s="214" t="s">
        <v>480</v>
      </c>
      <c r="C2" s="214"/>
      <c r="D2" s="214"/>
      <c r="E2" s="214"/>
      <c r="F2" s="214"/>
      <c r="G2" s="214"/>
      <c r="H2" s="214"/>
    </row>
    <row r="3" spans="1:8" x14ac:dyDescent="0.3">
      <c r="A3" s="3" t="s">
        <v>54</v>
      </c>
      <c r="B3" s="214" t="s">
        <v>482</v>
      </c>
      <c r="C3" s="214"/>
      <c r="D3" s="214"/>
      <c r="E3" s="214"/>
      <c r="F3" s="214"/>
      <c r="G3" s="214"/>
      <c r="H3" s="214"/>
    </row>
    <row r="4" spans="1:8" x14ac:dyDescent="0.3">
      <c r="A4" s="3" t="s">
        <v>56</v>
      </c>
      <c r="B4" s="215">
        <v>45958</v>
      </c>
      <c r="C4" s="216"/>
      <c r="D4" s="216"/>
      <c r="E4" s="216"/>
      <c r="F4" s="216"/>
      <c r="G4" s="216"/>
      <c r="H4" s="216"/>
    </row>
    <row r="5" spans="1:8" x14ac:dyDescent="0.3">
      <c r="A5" s="3" t="s">
        <v>57</v>
      </c>
      <c r="B5" s="217">
        <v>45960</v>
      </c>
      <c r="C5" s="218"/>
      <c r="D5" s="218"/>
      <c r="E5" s="218"/>
      <c r="F5" s="218"/>
      <c r="G5" s="218"/>
      <c r="H5" s="218"/>
    </row>
    <row r="6" spans="1:8" ht="30.6" customHeight="1" x14ac:dyDescent="0.3">
      <c r="A6" s="1" t="s">
        <v>58</v>
      </c>
      <c r="B6" s="2" t="s">
        <v>59</v>
      </c>
      <c r="C6" s="2" t="s">
        <v>60</v>
      </c>
      <c r="D6" s="2" t="s">
        <v>61</v>
      </c>
      <c r="E6" s="2" t="s">
        <v>62</v>
      </c>
      <c r="F6" s="2" t="s">
        <v>63</v>
      </c>
      <c r="G6" s="2" t="s">
        <v>64</v>
      </c>
      <c r="H6" s="2" t="s">
        <v>65</v>
      </c>
    </row>
    <row r="7" spans="1:8" x14ac:dyDescent="0.3">
      <c r="A7" s="3" t="s">
        <v>66</v>
      </c>
      <c r="B7" s="4" t="s">
        <v>121</v>
      </c>
      <c r="C7" s="5" t="s">
        <v>191</v>
      </c>
      <c r="D7" s="5" t="s">
        <v>190</v>
      </c>
      <c r="E7" s="5" t="s">
        <v>122</v>
      </c>
      <c r="F7" s="5" t="s">
        <v>123</v>
      </c>
      <c r="G7" s="5" t="s">
        <v>124</v>
      </c>
      <c r="H7" s="6" t="s">
        <v>125</v>
      </c>
    </row>
    <row r="8" spans="1:8" x14ac:dyDescent="0.3">
      <c r="A8" s="3" t="s">
        <v>67</v>
      </c>
      <c r="B8" s="7" t="s">
        <v>416</v>
      </c>
      <c r="C8" s="5" t="s">
        <v>191</v>
      </c>
      <c r="D8" s="5" t="s">
        <v>190</v>
      </c>
      <c r="E8" s="5" t="s">
        <v>122</v>
      </c>
      <c r="F8" s="5" t="s">
        <v>123</v>
      </c>
      <c r="G8" s="5" t="s">
        <v>124</v>
      </c>
      <c r="H8" s="66" t="s">
        <v>417</v>
      </c>
    </row>
    <row r="9" spans="1:8" x14ac:dyDescent="0.3">
      <c r="A9" s="3" t="s">
        <v>68</v>
      </c>
      <c r="B9" s="8" t="s">
        <v>126</v>
      </c>
      <c r="C9" s="8" t="s">
        <v>126</v>
      </c>
      <c r="D9" s="8" t="s">
        <v>126</v>
      </c>
      <c r="E9" s="8" t="s">
        <v>126</v>
      </c>
      <c r="F9" s="8" t="s">
        <v>126</v>
      </c>
      <c r="G9" s="8" t="s">
        <v>126</v>
      </c>
      <c r="H9" s="8" t="s">
        <v>126</v>
      </c>
    </row>
    <row r="10" spans="1:8" x14ac:dyDescent="0.3">
      <c r="A10" s="3" t="s">
        <v>69</v>
      </c>
      <c r="B10" s="7" t="s">
        <v>127</v>
      </c>
      <c r="C10" s="5" t="s">
        <v>191</v>
      </c>
      <c r="D10" s="5" t="s">
        <v>190</v>
      </c>
      <c r="E10" s="5" t="s">
        <v>122</v>
      </c>
      <c r="F10" s="5" t="s">
        <v>123</v>
      </c>
      <c r="G10" s="5" t="s">
        <v>124</v>
      </c>
      <c r="H10" s="9" t="s">
        <v>128</v>
      </c>
    </row>
    <row r="11" spans="1:8" x14ac:dyDescent="0.3">
      <c r="A11" s="3" t="s">
        <v>70</v>
      </c>
      <c r="B11" s="8" t="s">
        <v>126</v>
      </c>
      <c r="C11" s="8" t="s">
        <v>126</v>
      </c>
      <c r="D11" s="8" t="s">
        <v>126</v>
      </c>
      <c r="E11" s="8" t="s">
        <v>126</v>
      </c>
      <c r="F11" s="8" t="s">
        <v>126</v>
      </c>
      <c r="G11" s="8" t="s">
        <v>126</v>
      </c>
      <c r="H11" s="8" t="s">
        <v>126</v>
      </c>
    </row>
    <row r="12" spans="1:8" ht="27.6" customHeight="1" x14ac:dyDescent="0.3">
      <c r="A12" s="209" t="s">
        <v>71</v>
      </c>
      <c r="B12" s="210"/>
      <c r="C12" s="210"/>
      <c r="D12" s="210"/>
      <c r="E12" s="210"/>
      <c r="F12" s="210"/>
      <c r="G12" s="210"/>
      <c r="H12" s="210"/>
    </row>
    <row r="13" spans="1:8" x14ac:dyDescent="0.3">
      <c r="A13" s="3" t="s">
        <v>72</v>
      </c>
      <c r="B13" s="211" t="s">
        <v>345</v>
      </c>
      <c r="C13" s="211"/>
      <c r="D13" s="211"/>
      <c r="E13" s="211"/>
      <c r="F13" s="211"/>
      <c r="G13" s="211"/>
      <c r="H13" s="211"/>
    </row>
    <row r="14" spans="1:8" x14ac:dyDescent="0.3">
      <c r="A14" s="3" t="s">
        <v>73</v>
      </c>
      <c r="B14" s="211" t="s">
        <v>344</v>
      </c>
      <c r="C14" s="211"/>
      <c r="D14" s="211"/>
      <c r="E14" s="211"/>
      <c r="F14" s="211"/>
      <c r="G14" s="211"/>
      <c r="H14" s="211"/>
    </row>
    <row r="15" spans="1:8" x14ac:dyDescent="0.3">
      <c r="A15" s="3" t="s">
        <v>74</v>
      </c>
      <c r="B15" s="211" t="s">
        <v>488</v>
      </c>
      <c r="C15" s="211"/>
      <c r="D15" s="211"/>
      <c r="E15" s="211"/>
      <c r="F15" s="211"/>
      <c r="G15" s="211"/>
      <c r="H15" s="211"/>
    </row>
    <row r="16" spans="1:8" x14ac:dyDescent="0.3">
      <c r="A16" s="3" t="s">
        <v>75</v>
      </c>
      <c r="B16" s="211"/>
      <c r="C16" s="211"/>
      <c r="D16" s="211"/>
      <c r="E16" s="211"/>
      <c r="F16" s="211"/>
      <c r="G16" s="211"/>
      <c r="H16" s="211"/>
    </row>
    <row r="17" spans="1:8" x14ac:dyDescent="0.3">
      <c r="A17" s="3" t="s">
        <v>76</v>
      </c>
      <c r="B17" s="211"/>
      <c r="C17" s="211"/>
      <c r="D17" s="211"/>
      <c r="E17" s="211"/>
      <c r="F17" s="211"/>
      <c r="G17" s="211"/>
      <c r="H17" s="211"/>
    </row>
    <row r="18" spans="1:8" ht="27.6" customHeight="1" x14ac:dyDescent="0.3">
      <c r="A18" s="16" t="s">
        <v>78</v>
      </c>
      <c r="B18" s="212" t="s">
        <v>79</v>
      </c>
      <c r="C18" s="212"/>
      <c r="D18" s="212"/>
      <c r="E18" s="213" t="s">
        <v>80</v>
      </c>
      <c r="F18" s="213"/>
      <c r="G18" s="213"/>
      <c r="H18" s="213"/>
    </row>
    <row r="19" spans="1:8" x14ac:dyDescent="0.3">
      <c r="A19" s="3" t="s">
        <v>81</v>
      </c>
      <c r="B19" s="219" t="s">
        <v>346</v>
      </c>
      <c r="C19" s="219"/>
      <c r="D19" s="219"/>
      <c r="E19" s="220" t="s">
        <v>487</v>
      </c>
      <c r="F19" s="220"/>
      <c r="G19" s="220"/>
      <c r="H19" s="220"/>
    </row>
    <row r="20" spans="1:8" x14ac:dyDescent="0.3">
      <c r="A20" s="3" t="s">
        <v>82</v>
      </c>
      <c r="B20" s="219" t="s">
        <v>136</v>
      </c>
      <c r="C20" s="219"/>
      <c r="D20" s="219"/>
      <c r="E20" s="220" t="s">
        <v>504</v>
      </c>
      <c r="F20" s="220"/>
      <c r="G20" s="220"/>
      <c r="H20" s="220"/>
    </row>
    <row r="21" spans="1:8" ht="28.8" x14ac:dyDescent="0.3">
      <c r="A21" s="3" t="s">
        <v>83</v>
      </c>
      <c r="B21" s="229" t="s">
        <v>139</v>
      </c>
      <c r="C21" s="229"/>
      <c r="D21" s="229"/>
      <c r="E21" s="220"/>
      <c r="F21" s="220"/>
      <c r="G21" s="220"/>
      <c r="H21" s="220"/>
    </row>
    <row r="22" spans="1:8" x14ac:dyDescent="0.3">
      <c r="A22" s="3" t="s">
        <v>84</v>
      </c>
      <c r="B22" s="220" t="s">
        <v>138</v>
      </c>
      <c r="C22" s="220"/>
      <c r="D22" s="220"/>
      <c r="E22" s="220" t="s">
        <v>140</v>
      </c>
      <c r="F22" s="220"/>
      <c r="G22" s="220"/>
      <c r="H22" s="220"/>
    </row>
    <row r="23" spans="1:8" ht="28.8" x14ac:dyDescent="0.3">
      <c r="A23" s="3" t="s">
        <v>85</v>
      </c>
      <c r="B23" s="220" t="s">
        <v>139</v>
      </c>
      <c r="C23" s="220"/>
      <c r="D23" s="220"/>
      <c r="E23" s="220"/>
      <c r="F23" s="220"/>
      <c r="G23" s="220"/>
      <c r="H23" s="220"/>
    </row>
    <row r="24" spans="1:8" x14ac:dyDescent="0.3">
      <c r="A24" s="3" t="s">
        <v>86</v>
      </c>
      <c r="B24" s="220" t="s">
        <v>139</v>
      </c>
      <c r="C24" s="220"/>
      <c r="D24" s="220"/>
      <c r="E24" s="220"/>
      <c r="F24" s="220"/>
      <c r="G24" s="220"/>
      <c r="H24" s="220"/>
    </row>
    <row r="25" spans="1:8" s="11" customFormat="1" ht="27.6" customHeight="1" x14ac:dyDescent="0.3">
      <c r="A25" s="17" t="s">
        <v>87</v>
      </c>
      <c r="B25" s="221" t="s">
        <v>79</v>
      </c>
      <c r="C25" s="221"/>
      <c r="D25" s="221"/>
      <c r="E25" s="222" t="s">
        <v>80</v>
      </c>
      <c r="F25" s="222"/>
      <c r="G25" s="222"/>
      <c r="H25" s="222"/>
    </row>
    <row r="26" spans="1:8" ht="31.2" customHeight="1" x14ac:dyDescent="0.3">
      <c r="A26" s="31" t="s">
        <v>88</v>
      </c>
      <c r="B26" s="230" t="s">
        <v>341</v>
      </c>
      <c r="C26" s="230"/>
      <c r="D26" s="230"/>
      <c r="E26" s="220" t="s">
        <v>487</v>
      </c>
      <c r="F26" s="220"/>
      <c r="G26" s="220"/>
      <c r="H26" s="220"/>
    </row>
    <row r="27" spans="1:8" x14ac:dyDescent="0.3">
      <c r="A27" s="3" t="s">
        <v>89</v>
      </c>
      <c r="B27" s="211"/>
      <c r="C27" s="211"/>
      <c r="D27" s="211"/>
      <c r="E27" s="211"/>
      <c r="F27" s="211"/>
      <c r="G27" s="211"/>
      <c r="H27" s="211"/>
    </row>
    <row r="28" spans="1:8" ht="25.8" customHeight="1" x14ac:dyDescent="0.3">
      <c r="A28" s="3" t="s">
        <v>90</v>
      </c>
      <c r="B28" s="230" t="s">
        <v>342</v>
      </c>
      <c r="C28" s="230"/>
      <c r="D28" s="230"/>
      <c r="E28" s="220" t="s">
        <v>487</v>
      </c>
      <c r="F28" s="220"/>
      <c r="G28" s="220"/>
      <c r="H28" s="220"/>
    </row>
    <row r="29" spans="1:8" ht="14.4" customHeight="1" x14ac:dyDescent="0.3">
      <c r="A29" s="3" t="s">
        <v>91</v>
      </c>
      <c r="B29" s="224"/>
      <c r="C29" s="225"/>
      <c r="D29" s="226"/>
      <c r="E29" s="211"/>
      <c r="F29" s="211"/>
      <c r="G29" s="211"/>
      <c r="H29" s="211"/>
    </row>
    <row r="30" spans="1:8" ht="14.4" customHeight="1" x14ac:dyDescent="0.3">
      <c r="A30" s="3" t="s">
        <v>92</v>
      </c>
      <c r="B30" s="224"/>
      <c r="C30" s="225"/>
      <c r="D30" s="226"/>
      <c r="E30" s="211"/>
      <c r="F30" s="211"/>
      <c r="G30" s="211"/>
      <c r="H30" s="211"/>
    </row>
    <row r="31" spans="1:8" ht="28.8" customHeight="1" x14ac:dyDescent="0.3">
      <c r="A31" s="3" t="s">
        <v>93</v>
      </c>
      <c r="B31" s="231" t="s">
        <v>343</v>
      </c>
      <c r="C31" s="232"/>
      <c r="D31" s="233"/>
      <c r="E31" s="220" t="s">
        <v>487</v>
      </c>
      <c r="F31" s="220"/>
      <c r="G31" s="220"/>
      <c r="H31" s="220"/>
    </row>
    <row r="32" spans="1:8" ht="29.4" customHeight="1" x14ac:dyDescent="0.3">
      <c r="A32" s="31" t="s">
        <v>94</v>
      </c>
      <c r="B32" s="231" t="s">
        <v>435</v>
      </c>
      <c r="C32" s="232"/>
      <c r="D32" s="233"/>
      <c r="E32" s="220" t="s">
        <v>487</v>
      </c>
      <c r="F32" s="220"/>
      <c r="G32" s="220"/>
      <c r="H32" s="220"/>
    </row>
    <row r="33" spans="1:8" ht="14.4" customHeight="1" x14ac:dyDescent="0.3">
      <c r="A33" s="3" t="s">
        <v>95</v>
      </c>
      <c r="B33" s="224"/>
      <c r="C33" s="225"/>
      <c r="D33" s="226"/>
      <c r="E33" s="211"/>
      <c r="F33" s="211"/>
      <c r="G33" s="211"/>
      <c r="H33" s="211"/>
    </row>
    <row r="34" spans="1:8" ht="28.8" customHeight="1" x14ac:dyDescent="0.3">
      <c r="A34" s="3" t="s">
        <v>96</v>
      </c>
      <c r="B34" s="224"/>
      <c r="C34" s="225"/>
      <c r="D34" s="226"/>
      <c r="E34" s="211"/>
      <c r="F34" s="211"/>
      <c r="G34" s="211"/>
      <c r="H34" s="211"/>
    </row>
    <row r="35" spans="1:8" s="11" customFormat="1" ht="27.6" customHeight="1" x14ac:dyDescent="0.3">
      <c r="A35" s="17" t="s">
        <v>97</v>
      </c>
      <c r="B35" s="221" t="s">
        <v>79</v>
      </c>
      <c r="C35" s="221"/>
      <c r="D35" s="221"/>
      <c r="E35" s="222" t="s">
        <v>98</v>
      </c>
      <c r="F35" s="222"/>
      <c r="G35" s="222"/>
      <c r="H35" s="222"/>
    </row>
    <row r="36" spans="1:8" x14ac:dyDescent="0.3">
      <c r="A36" s="3" t="s">
        <v>99</v>
      </c>
      <c r="B36" s="211" t="s">
        <v>141</v>
      </c>
      <c r="C36" s="211"/>
      <c r="D36" s="211"/>
      <c r="E36" s="211"/>
      <c r="F36" s="211"/>
      <c r="G36" s="211"/>
      <c r="H36" s="211"/>
    </row>
    <row r="37" spans="1:8" s="11" customFormat="1" ht="27.6" customHeight="1" x14ac:dyDescent="0.3">
      <c r="A37" s="17" t="s">
        <v>100</v>
      </c>
      <c r="B37" s="223" t="s">
        <v>101</v>
      </c>
      <c r="C37" s="223"/>
      <c r="D37" s="223"/>
      <c r="E37" s="222" t="s">
        <v>98</v>
      </c>
      <c r="F37" s="222"/>
      <c r="G37" s="222"/>
      <c r="H37" s="222"/>
    </row>
    <row r="38" spans="1:8" x14ac:dyDescent="0.3">
      <c r="A38" s="3" t="s">
        <v>102</v>
      </c>
      <c r="B38" s="211" t="s">
        <v>347</v>
      </c>
      <c r="C38" s="211"/>
      <c r="D38" s="211"/>
      <c r="E38" s="211" t="s">
        <v>144</v>
      </c>
      <c r="F38" s="211"/>
      <c r="G38" s="211"/>
      <c r="H38" s="211"/>
    </row>
    <row r="39" spans="1:8" ht="30.6" customHeight="1" x14ac:dyDescent="0.3">
      <c r="A39" s="31" t="s">
        <v>103</v>
      </c>
      <c r="B39" s="234" t="s">
        <v>483</v>
      </c>
      <c r="C39" s="234"/>
      <c r="D39" s="234"/>
      <c r="E39" s="230" t="s">
        <v>516</v>
      </c>
      <c r="F39" s="230"/>
      <c r="G39" s="230"/>
      <c r="H39" s="230"/>
    </row>
    <row r="40" spans="1:8" ht="27" customHeight="1" x14ac:dyDescent="0.3">
      <c r="A40" s="31" t="s">
        <v>104</v>
      </c>
      <c r="B40" s="234" t="s">
        <v>515</v>
      </c>
      <c r="C40" s="234"/>
      <c r="D40" s="234"/>
      <c r="E40" s="230" t="s">
        <v>516</v>
      </c>
      <c r="F40" s="230"/>
      <c r="G40" s="230"/>
      <c r="H40" s="230"/>
    </row>
    <row r="41" spans="1:8" x14ac:dyDescent="0.3">
      <c r="A41" s="3" t="s">
        <v>105</v>
      </c>
      <c r="B41" s="211" t="s">
        <v>143</v>
      </c>
      <c r="C41" s="211"/>
      <c r="D41" s="211"/>
      <c r="E41" s="211" t="s">
        <v>348</v>
      </c>
      <c r="F41" s="211"/>
      <c r="G41" s="211"/>
      <c r="H41" s="211"/>
    </row>
    <row r="42" spans="1:8" s="11" customFormat="1" ht="27.6" customHeight="1" x14ac:dyDescent="0.3">
      <c r="A42" s="17" t="s">
        <v>106</v>
      </c>
      <c r="B42" s="221" t="s">
        <v>107</v>
      </c>
      <c r="C42" s="221"/>
      <c r="D42" s="221"/>
      <c r="E42" s="222" t="s">
        <v>98</v>
      </c>
      <c r="F42" s="222"/>
      <c r="G42" s="222"/>
      <c r="H42" s="222"/>
    </row>
    <row r="43" spans="1:8" x14ac:dyDescent="0.3">
      <c r="A43" s="3" t="s">
        <v>108</v>
      </c>
      <c r="B43" s="211" t="s">
        <v>146</v>
      </c>
      <c r="C43" s="211"/>
      <c r="D43" s="211"/>
      <c r="E43" s="211" t="s">
        <v>147</v>
      </c>
      <c r="F43" s="211"/>
      <c r="G43" s="211"/>
      <c r="H43" s="211"/>
    </row>
    <row r="44" spans="1:8" x14ac:dyDescent="0.3">
      <c r="A44" s="3" t="s">
        <v>109</v>
      </c>
      <c r="B44" s="211" t="s">
        <v>149</v>
      </c>
      <c r="C44" s="211"/>
      <c r="D44" s="211"/>
      <c r="E44" s="211" t="s">
        <v>148</v>
      </c>
      <c r="F44" s="211"/>
      <c r="G44" s="211"/>
      <c r="H44" s="211"/>
    </row>
    <row r="45" spans="1:8" x14ac:dyDescent="0.3">
      <c r="A45" s="3" t="s">
        <v>110</v>
      </c>
      <c r="B45" s="211" t="s">
        <v>150</v>
      </c>
      <c r="C45" s="211"/>
      <c r="D45" s="211"/>
      <c r="E45" s="211" t="s">
        <v>151</v>
      </c>
      <c r="F45" s="211"/>
      <c r="G45" s="211"/>
      <c r="H45" s="211"/>
    </row>
    <row r="46" spans="1:8" x14ac:dyDescent="0.3">
      <c r="A46" s="3" t="s">
        <v>152</v>
      </c>
      <c r="B46" s="211" t="s">
        <v>153</v>
      </c>
      <c r="C46" s="211"/>
      <c r="D46" s="211"/>
      <c r="E46" s="211" t="s">
        <v>484</v>
      </c>
      <c r="F46" s="211"/>
      <c r="G46" s="211"/>
      <c r="H46" s="211"/>
    </row>
    <row r="47" spans="1:8" s="12" customFormat="1" ht="27.6" customHeight="1" x14ac:dyDescent="0.3">
      <c r="A47" s="18" t="s">
        <v>111</v>
      </c>
      <c r="B47" s="19" t="s">
        <v>112</v>
      </c>
      <c r="C47" s="19" t="s">
        <v>63</v>
      </c>
      <c r="D47" s="227" t="s">
        <v>113</v>
      </c>
      <c r="E47" s="227"/>
      <c r="F47" s="227" t="s">
        <v>114</v>
      </c>
      <c r="G47" s="227"/>
      <c r="H47" s="227"/>
    </row>
    <row r="48" spans="1:8" x14ac:dyDescent="0.3">
      <c r="A48" s="3" t="s">
        <v>115</v>
      </c>
      <c r="B48" s="13"/>
      <c r="C48" s="14"/>
      <c r="D48" s="228"/>
      <c r="E48" s="228"/>
      <c r="F48" s="211"/>
      <c r="G48" s="211"/>
      <c r="H48" s="211"/>
    </row>
    <row r="49" spans="1:8" x14ac:dyDescent="0.3">
      <c r="A49" s="3" t="s">
        <v>116</v>
      </c>
      <c r="B49" s="13"/>
      <c r="C49" s="13"/>
      <c r="D49" s="211"/>
      <c r="E49" s="211"/>
      <c r="F49" s="211"/>
      <c r="G49" s="211"/>
      <c r="H49" s="211"/>
    </row>
    <row r="50" spans="1:8" x14ac:dyDescent="0.3">
      <c r="A50" s="3" t="s">
        <v>117</v>
      </c>
      <c r="B50" s="13"/>
      <c r="C50" s="13"/>
      <c r="D50" s="211"/>
      <c r="E50" s="211"/>
      <c r="F50" s="211"/>
      <c r="G50" s="211"/>
      <c r="H50" s="211"/>
    </row>
    <row r="51" spans="1:8" x14ac:dyDescent="0.3">
      <c r="A51" s="3" t="s">
        <v>118</v>
      </c>
      <c r="B51" s="13"/>
      <c r="C51" s="13"/>
      <c r="D51" s="211"/>
      <c r="E51" s="211"/>
      <c r="F51" s="211"/>
      <c r="G51" s="211"/>
      <c r="H51" s="10"/>
    </row>
  </sheetData>
  <mergeCells count="79">
    <mergeCell ref="D51:E51"/>
    <mergeCell ref="F51:G51"/>
    <mergeCell ref="D48:E48"/>
    <mergeCell ref="F48:H48"/>
    <mergeCell ref="D49:E49"/>
    <mergeCell ref="F49:H49"/>
    <mergeCell ref="D50:E50"/>
    <mergeCell ref="F50:H50"/>
    <mergeCell ref="B45:D45"/>
    <mergeCell ref="E45:H45"/>
    <mergeCell ref="B46:D46"/>
    <mergeCell ref="E46:H46"/>
    <mergeCell ref="D47:E47"/>
    <mergeCell ref="F47:H47"/>
    <mergeCell ref="B42:D42"/>
    <mergeCell ref="E42:H42"/>
    <mergeCell ref="B43:D43"/>
    <mergeCell ref="E43:H43"/>
    <mergeCell ref="B44:D44"/>
    <mergeCell ref="E44:H44"/>
    <mergeCell ref="B39:D39"/>
    <mergeCell ref="E39:H39"/>
    <mergeCell ref="B40:D40"/>
    <mergeCell ref="E40:H40"/>
    <mergeCell ref="B41:D41"/>
    <mergeCell ref="E41:H41"/>
    <mergeCell ref="B36:D36"/>
    <mergeCell ref="E36:H36"/>
    <mergeCell ref="B37:D37"/>
    <mergeCell ref="E37:H37"/>
    <mergeCell ref="B38:D38"/>
    <mergeCell ref="E38:H38"/>
    <mergeCell ref="B33:D33"/>
    <mergeCell ref="E33:H33"/>
    <mergeCell ref="B34:D34"/>
    <mergeCell ref="E34:H34"/>
    <mergeCell ref="B35:D35"/>
    <mergeCell ref="E35:H35"/>
    <mergeCell ref="B30:D30"/>
    <mergeCell ref="E30:H30"/>
    <mergeCell ref="B31:D31"/>
    <mergeCell ref="E31:H31"/>
    <mergeCell ref="B32:D32"/>
    <mergeCell ref="E32:H32"/>
    <mergeCell ref="B27:D27"/>
    <mergeCell ref="E27:H27"/>
    <mergeCell ref="B28:D28"/>
    <mergeCell ref="E28:H28"/>
    <mergeCell ref="B29:D29"/>
    <mergeCell ref="E29:H29"/>
    <mergeCell ref="B24:D24"/>
    <mergeCell ref="E24:H24"/>
    <mergeCell ref="B25:D25"/>
    <mergeCell ref="E25:H25"/>
    <mergeCell ref="B26:D26"/>
    <mergeCell ref="E26:H26"/>
    <mergeCell ref="B21:D21"/>
    <mergeCell ref="E21:H21"/>
    <mergeCell ref="B22:D22"/>
    <mergeCell ref="E22:H22"/>
    <mergeCell ref="B23:D23"/>
    <mergeCell ref="E23:H23"/>
    <mergeCell ref="B18:D18"/>
    <mergeCell ref="E18:H18"/>
    <mergeCell ref="B19:D19"/>
    <mergeCell ref="E19:H19"/>
    <mergeCell ref="B20:D20"/>
    <mergeCell ref="E20:H20"/>
    <mergeCell ref="B13:H13"/>
    <mergeCell ref="B14:H14"/>
    <mergeCell ref="B15:H15"/>
    <mergeCell ref="B16:H16"/>
    <mergeCell ref="B17:H17"/>
    <mergeCell ref="A12:H12"/>
    <mergeCell ref="A1:H1"/>
    <mergeCell ref="B2:H2"/>
    <mergeCell ref="B3:H3"/>
    <mergeCell ref="B4:H4"/>
    <mergeCell ref="B5:H5"/>
  </mergeCells>
  <hyperlinks>
    <hyperlink ref="H7" r:id="rId1" xr:uid="{76EFA73C-FA90-46FF-A99C-56471E63A3C4}"/>
    <hyperlink ref="H8" r:id="rId2" xr:uid="{351F9DDA-3EBB-4CF4-AB7F-89FE74DF957D}"/>
    <hyperlink ref="H10" r:id="rId3" xr:uid="{56EDE22D-A522-4BE3-B2BD-756436EA76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Résumé</vt:lpstr>
      <vt:lpstr>Backlog</vt:lpstr>
      <vt:lpstr>Planning</vt:lpstr>
      <vt:lpstr>Budget et bénéfices</vt:lpstr>
      <vt:lpstr>Risque</vt:lpstr>
      <vt:lpstr>CNIL traitement 001</vt:lpstr>
      <vt:lpstr>CNIL traitement 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Aline V</dc:creator>
  <cp:lastModifiedBy>Aline V</cp:lastModifiedBy>
  <dcterms:created xsi:type="dcterms:W3CDTF">2025-10-28T12:59:33Z</dcterms:created>
  <dcterms:modified xsi:type="dcterms:W3CDTF">2025-11-26T08:16:29Z</dcterms:modified>
</cp:coreProperties>
</file>